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tomar\OneDrive\Desktop\My Projects\Excel\"/>
    </mc:Choice>
  </mc:AlternateContent>
  <xr:revisionPtr revIDLastSave="0" documentId="13_ncr:1_{34BE8AC6-1A21-48BF-89E2-DD89BCF8E245}" xr6:coauthVersionLast="47" xr6:coauthVersionMax="47" xr10:uidLastSave="{00000000-0000-0000-0000-000000000000}"/>
  <bookViews>
    <workbookView xWindow="-108" yWindow="-108" windowWidth="23256" windowHeight="12456" activeTab="3" xr2:uid="{00000000-000D-0000-FFFF-FFFF00000000}"/>
  </bookViews>
  <sheets>
    <sheet name="Total Sales" sheetId="18" r:id="rId1"/>
    <sheet name="Country  Barchart" sheetId="20" r:id="rId2"/>
    <sheet name="Top 5 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24" i="17"/>
  <c r="O33" i="17"/>
  <c r="O35" i="17"/>
  <c r="O54" i="17"/>
  <c r="O68" i="17"/>
  <c r="O78" i="17"/>
  <c r="O80" i="17"/>
  <c r="O90" i="17"/>
  <c r="O99" i="17"/>
  <c r="O108" i="17"/>
  <c r="O115" i="17"/>
  <c r="O133" i="17"/>
  <c r="O138" i="17"/>
  <c r="O155" i="17"/>
  <c r="O157" i="17"/>
  <c r="O158" i="17"/>
  <c r="O160" i="17"/>
  <c r="O167" i="17"/>
  <c r="O178" i="17"/>
  <c r="O180" i="17"/>
  <c r="O197" i="17"/>
  <c r="O206" i="17"/>
  <c r="O208" i="17"/>
  <c r="O211" i="17"/>
  <c r="O218" i="17"/>
  <c r="O232" i="17"/>
  <c r="O235" i="17"/>
  <c r="O239" i="17"/>
  <c r="O257" i="17"/>
  <c r="O274" i="17"/>
  <c r="O278" i="17"/>
  <c r="O292" i="17"/>
  <c r="O293" i="17"/>
  <c r="O295" i="17"/>
  <c r="O307" i="17"/>
  <c r="O321" i="17"/>
  <c r="O323" i="17"/>
  <c r="O332" i="17"/>
  <c r="O334" i="17"/>
  <c r="O349" i="17"/>
  <c r="O353" i="17"/>
  <c r="O365" i="17"/>
  <c r="O377" i="17"/>
  <c r="O383" i="17"/>
  <c r="O385" i="17"/>
  <c r="O390" i="17"/>
  <c r="O399" i="17"/>
  <c r="O423" i="17"/>
  <c r="O424" i="17"/>
  <c r="O430" i="17"/>
  <c r="O435" i="17"/>
  <c r="O446" i="17"/>
  <c r="O447" i="17"/>
  <c r="O456" i="17"/>
  <c r="O467" i="17"/>
  <c r="O468" i="17"/>
  <c r="O491" i="17"/>
  <c r="O499" i="17"/>
  <c r="O502" i="17"/>
  <c r="O516" i="17"/>
  <c r="O521" i="17"/>
  <c r="O535" i="17"/>
  <c r="O536" i="17"/>
  <c r="O544" i="17"/>
  <c r="O559" i="17"/>
  <c r="O561" i="17"/>
  <c r="O575" i="17"/>
  <c r="O581" i="17"/>
  <c r="O582" i="17"/>
  <c r="O586" i="17"/>
  <c r="O592" i="17"/>
  <c r="O600" i="17"/>
  <c r="O612" i="17"/>
  <c r="O615" i="17"/>
  <c r="O620" i="17"/>
  <c r="O631" i="17"/>
  <c r="O633" i="17"/>
  <c r="O642" i="17"/>
  <c r="O645" i="17"/>
  <c r="O652" i="17"/>
  <c r="O656" i="17"/>
  <c r="O673" i="17"/>
  <c r="O676" i="17"/>
  <c r="O678" i="17"/>
  <c r="O694" i="17"/>
  <c r="O701" i="17"/>
  <c r="O710" i="17"/>
  <c r="O713" i="17"/>
  <c r="O715" i="17"/>
  <c r="O719" i="17"/>
  <c r="O722" i="17"/>
  <c r="O726" i="17"/>
  <c r="O732" i="17"/>
  <c r="O740" i="17"/>
  <c r="O743" i="17"/>
  <c r="O747" i="17"/>
  <c r="O754" i="17"/>
  <c r="O762" i="17"/>
  <c r="O768" i="17"/>
  <c r="O777" i="17"/>
  <c r="O781" i="17"/>
  <c r="O782" i="17"/>
  <c r="O789" i="17"/>
  <c r="O791" i="17"/>
  <c r="O797" i="17"/>
  <c r="O799" i="17"/>
  <c r="O827" i="17"/>
  <c r="O832" i="17"/>
  <c r="O841" i="17"/>
  <c r="O847" i="17"/>
  <c r="O848" i="17"/>
  <c r="O852" i="17"/>
  <c r="O862" i="17"/>
  <c r="O876" i="17"/>
  <c r="O883" i="17"/>
  <c r="O894" i="17"/>
  <c r="O902" i="17"/>
  <c r="O913" i="17"/>
  <c r="O922" i="17"/>
  <c r="O929" i="17"/>
  <c r="O935" i="17"/>
  <c r="O939" i="17"/>
  <c r="O943" i="17"/>
  <c r="O945" i="17"/>
  <c r="O953" i="17"/>
  <c r="O960" i="17"/>
  <c r="O967" i="17"/>
  <c r="O974" i="17"/>
  <c r="O978" i="17"/>
  <c r="O988" i="17"/>
  <c r="O993" i="17"/>
  <c r="O995" i="17"/>
  <c r="O2" i="17"/>
  <c r="N3" i="17"/>
  <c r="N9" i="17"/>
  <c r="N14" i="17"/>
  <c r="N19" i="17"/>
  <c r="N20" i="17"/>
  <c r="N23" i="17"/>
  <c r="N28" i="17"/>
  <c r="N37" i="17"/>
  <c r="N42" i="17"/>
  <c r="N44" i="17"/>
  <c r="N46" i="17"/>
  <c r="N49" i="17"/>
  <c r="N56" i="17"/>
  <c r="N63" i="17"/>
  <c r="N64" i="17"/>
  <c r="N65" i="17"/>
  <c r="N78" i="17"/>
  <c r="N81" i="17"/>
  <c r="N84" i="17"/>
  <c r="N88" i="17"/>
  <c r="N89" i="17"/>
  <c r="N98" i="17"/>
  <c r="N103" i="17"/>
  <c r="N105" i="17"/>
  <c r="N106" i="17"/>
  <c r="N107" i="17"/>
  <c r="N116" i="17"/>
  <c r="N117" i="17"/>
  <c r="N118" i="17"/>
  <c r="N123" i="17"/>
  <c r="N129" i="17"/>
  <c r="N130" i="17"/>
  <c r="N135" i="17"/>
  <c r="N144" i="17"/>
  <c r="N146" i="17"/>
  <c r="N148" i="17"/>
  <c r="N149" i="17"/>
  <c r="N158" i="17"/>
  <c r="N163" i="17"/>
  <c r="N167" i="17"/>
  <c r="N168" i="17"/>
  <c r="N171" i="17"/>
  <c r="N177" i="17"/>
  <c r="N184" i="17"/>
  <c r="N185" i="17"/>
  <c r="N190" i="17"/>
  <c r="N194" i="17"/>
  <c r="N198" i="17"/>
  <c r="N200" i="17"/>
  <c r="N203" i="17"/>
  <c r="N205" i="17"/>
  <c r="N210" i="17"/>
  <c r="N218" i="17"/>
  <c r="N219" i="17"/>
  <c r="N224" i="17"/>
  <c r="N226" i="17"/>
  <c r="N231" i="17"/>
  <c r="N232" i="17"/>
  <c r="N242" i="17"/>
  <c r="N245" i="17"/>
  <c r="N249" i="17"/>
  <c r="N255" i="17"/>
  <c r="N256" i="17"/>
  <c r="N261" i="17"/>
  <c r="N266" i="17"/>
  <c r="N268" i="17"/>
  <c r="N273" i="17"/>
  <c r="N275" i="17"/>
  <c r="N280" i="17"/>
  <c r="N283" i="17"/>
  <c r="N287" i="17"/>
  <c r="N291" i="17"/>
  <c r="N292" i="17"/>
  <c r="N297" i="17"/>
  <c r="N298" i="17"/>
  <c r="N301" i="17"/>
  <c r="N302" i="17"/>
  <c r="N303" i="17"/>
  <c r="N312" i="17"/>
  <c r="N314" i="17"/>
  <c r="N315" i="17"/>
  <c r="N317" i="17"/>
  <c r="N322" i="17"/>
  <c r="N327" i="17"/>
  <c r="N333" i="17"/>
  <c r="N335" i="17"/>
  <c r="N336" i="17"/>
  <c r="N340" i="17"/>
  <c r="N341" i="17"/>
  <c r="N345" i="17"/>
  <c r="N348" i="17"/>
  <c r="N350" i="17"/>
  <c r="N356" i="17"/>
  <c r="N357" i="17"/>
  <c r="N370" i="17"/>
  <c r="N371" i="17"/>
  <c r="N373" i="17"/>
  <c r="N378" i="17"/>
  <c r="N380" i="17"/>
  <c r="N381" i="17"/>
  <c r="N387" i="17"/>
  <c r="N389" i="17"/>
  <c r="N390" i="17"/>
  <c r="N395" i="17"/>
  <c r="N401" i="17"/>
  <c r="N404" i="17"/>
  <c r="N406" i="17"/>
  <c r="N412" i="17"/>
  <c r="N420" i="17"/>
  <c r="N422" i="17"/>
  <c r="N424" i="17"/>
  <c r="N428" i="17"/>
  <c r="N429" i="17"/>
  <c r="N434" i="17"/>
  <c r="N440" i="17"/>
  <c r="N446" i="17"/>
  <c r="N448" i="17"/>
  <c r="N451" i="17"/>
  <c r="N452" i="17"/>
  <c r="N454" i="17"/>
  <c r="N461" i="17"/>
  <c r="N462" i="17"/>
  <c r="N465" i="17"/>
  <c r="N471" i="17"/>
  <c r="N476" i="17"/>
  <c r="N483" i="17"/>
  <c r="N485" i="17"/>
  <c r="N487" i="17"/>
  <c r="N488" i="17"/>
  <c r="N493" i="17"/>
  <c r="N494" i="17"/>
  <c r="N496" i="17"/>
  <c r="N499" i="17"/>
  <c r="N502" i="17"/>
  <c r="N503" i="17"/>
  <c r="N504" i="17"/>
  <c r="N515" i="17"/>
  <c r="N518" i="17"/>
  <c r="N522" i="17"/>
  <c r="N527" i="17"/>
  <c r="N530" i="17"/>
  <c r="N532" i="17"/>
  <c r="N535" i="17"/>
  <c r="N536" i="17"/>
  <c r="N543" i="17"/>
  <c r="N546" i="17"/>
  <c r="N549" i="17"/>
  <c r="N550" i="17"/>
  <c r="N563" i="17"/>
  <c r="N564" i="17"/>
  <c r="N565" i="17"/>
  <c r="N576" i="17"/>
  <c r="N577" i="17"/>
  <c r="N583" i="17"/>
  <c r="N588" i="17"/>
  <c r="N593" i="17"/>
  <c r="N594" i="17"/>
  <c r="N601" i="17"/>
  <c r="N602" i="17"/>
  <c r="N608" i="17"/>
  <c r="N611" i="17"/>
  <c r="N616" i="17"/>
  <c r="N621" i="17"/>
  <c r="N622" i="17"/>
  <c r="N625" i="17"/>
  <c r="N632" i="17"/>
  <c r="N633" i="17"/>
  <c r="N634" i="17"/>
  <c r="N639" i="17"/>
  <c r="N641" i="17"/>
  <c r="N643" i="17"/>
  <c r="N647" i="17"/>
  <c r="N653" i="17"/>
  <c r="N658" i="17"/>
  <c r="N662" i="17"/>
  <c r="N664" i="17"/>
  <c r="N666" i="17"/>
  <c r="N667" i="17"/>
  <c r="N672" i="17"/>
  <c r="N678" i="17"/>
  <c r="N679" i="17"/>
  <c r="N681" i="17"/>
  <c r="N683" i="17"/>
  <c r="N684" i="17"/>
  <c r="N686" i="17"/>
  <c r="N689" i="17"/>
  <c r="N697" i="17"/>
  <c r="N698" i="17"/>
  <c r="N699" i="17"/>
  <c r="N703" i="17"/>
  <c r="N709" i="17"/>
  <c r="N717" i="17"/>
  <c r="N721" i="17"/>
  <c r="N723" i="17"/>
  <c r="N726" i="17"/>
  <c r="N727" i="17"/>
  <c r="N728" i="17"/>
  <c r="N732" i="17"/>
  <c r="N739" i="17"/>
  <c r="N740" i="17"/>
  <c r="N742" i="17"/>
  <c r="N744" i="17"/>
  <c r="N745" i="17"/>
  <c r="N751" i="17"/>
  <c r="N754" i="17"/>
  <c r="N756" i="17"/>
  <c r="N757" i="17"/>
  <c r="N759" i="17"/>
  <c r="N760" i="17"/>
  <c r="N768" i="17"/>
  <c r="N769" i="17"/>
  <c r="N770" i="17"/>
  <c r="N773" i="17"/>
  <c r="N777" i="17"/>
  <c r="N779" i="17"/>
  <c r="N784" i="17"/>
  <c r="N786" i="17"/>
  <c r="N788" i="17"/>
  <c r="N793" i="17"/>
  <c r="N795" i="17"/>
  <c r="N800" i="17"/>
  <c r="N801" i="17"/>
  <c r="N802" i="17"/>
  <c r="N806" i="17"/>
  <c r="N807" i="17"/>
  <c r="N812" i="17"/>
  <c r="N816" i="17"/>
  <c r="N817" i="17"/>
  <c r="N821" i="17"/>
  <c r="N823" i="17"/>
  <c r="N826" i="17"/>
  <c r="N829" i="17"/>
  <c r="N834" i="17"/>
  <c r="N835" i="17"/>
  <c r="N840" i="17"/>
  <c r="N842" i="17"/>
  <c r="N843" i="17"/>
  <c r="N849" i="17"/>
  <c r="N852" i="17"/>
  <c r="N854" i="17"/>
  <c r="N857" i="17"/>
  <c r="N858" i="17"/>
  <c r="N859" i="17"/>
  <c r="N868" i="17"/>
  <c r="N870" i="17"/>
  <c r="N871" i="17"/>
  <c r="N875" i="17"/>
  <c r="N877" i="17"/>
  <c r="N882" i="17"/>
  <c r="N884" i="17"/>
  <c r="N886" i="17"/>
  <c r="N887" i="17"/>
  <c r="N891" i="17"/>
  <c r="N899" i="17"/>
  <c r="N900" i="17"/>
  <c r="N903" i="17"/>
  <c r="N904" i="17"/>
  <c r="N905" i="17"/>
  <c r="N910" i="17"/>
  <c r="N914" i="17"/>
  <c r="N919" i="17"/>
  <c r="N924" i="17"/>
  <c r="N927" i="17"/>
  <c r="N931" i="17"/>
  <c r="N932" i="17"/>
  <c r="N933" i="17"/>
  <c r="N938" i="17"/>
  <c r="N940" i="17"/>
  <c r="N941" i="17"/>
  <c r="N947" i="17"/>
  <c r="N949" i="17"/>
  <c r="N952" i="17"/>
  <c r="N955" i="17"/>
  <c r="N956" i="17"/>
  <c r="N957" i="17"/>
  <c r="N966" i="17"/>
  <c r="N968" i="17"/>
  <c r="N969" i="17"/>
  <c r="N975" i="17"/>
  <c r="N980" i="17"/>
  <c r="N982" i="17"/>
  <c r="N984" i="17"/>
  <c r="N985" i="17"/>
  <c r="N989" i="17"/>
  <c r="N997" i="17"/>
  <c r="N998" i="17"/>
  <c r="N1001" i="17"/>
  <c r="I3" i="17"/>
  <c r="I4" i="17"/>
  <c r="N4" i="17" s="1"/>
  <c r="I5" i="17"/>
  <c r="N5" i="17" s="1"/>
  <c r="I6" i="17"/>
  <c r="N6" i="17" s="1"/>
  <c r="I7" i="17"/>
  <c r="N7" i="17" s="1"/>
  <c r="I8" i="17"/>
  <c r="N8" i="17" s="1"/>
  <c r="I9" i="17"/>
  <c r="I10" i="17"/>
  <c r="N10" i="17" s="1"/>
  <c r="I11" i="17"/>
  <c r="N11" i="17" s="1"/>
  <c r="I12" i="17"/>
  <c r="N12" i="17" s="1"/>
  <c r="I13" i="17"/>
  <c r="N13" i="17" s="1"/>
  <c r="I14" i="17"/>
  <c r="I15" i="17"/>
  <c r="N15" i="17" s="1"/>
  <c r="I16" i="17"/>
  <c r="N16" i="17" s="1"/>
  <c r="I17" i="17"/>
  <c r="N17" i="17" s="1"/>
  <c r="I18" i="17"/>
  <c r="N18" i="17" s="1"/>
  <c r="I19" i="17"/>
  <c r="I20" i="17"/>
  <c r="I21" i="17"/>
  <c r="N21" i="17" s="1"/>
  <c r="I22" i="17"/>
  <c r="N22" i="17" s="1"/>
  <c r="I23" i="17"/>
  <c r="I24" i="17"/>
  <c r="N24" i="17" s="1"/>
  <c r="I25" i="17"/>
  <c r="N25" i="17" s="1"/>
  <c r="I26" i="17"/>
  <c r="N26" i="17" s="1"/>
  <c r="I27" i="17"/>
  <c r="N27" i="17" s="1"/>
  <c r="I28" i="17"/>
  <c r="I29" i="17"/>
  <c r="N29" i="17" s="1"/>
  <c r="I30" i="17"/>
  <c r="N30" i="17" s="1"/>
  <c r="I31" i="17"/>
  <c r="N31" i="17" s="1"/>
  <c r="I32" i="17"/>
  <c r="N32" i="17" s="1"/>
  <c r="I33" i="17"/>
  <c r="N33" i="17" s="1"/>
  <c r="I34" i="17"/>
  <c r="N34" i="17" s="1"/>
  <c r="I35" i="17"/>
  <c r="N35" i="17" s="1"/>
  <c r="I36" i="17"/>
  <c r="N36" i="17" s="1"/>
  <c r="I37" i="17"/>
  <c r="I38" i="17"/>
  <c r="N38" i="17" s="1"/>
  <c r="I39" i="17"/>
  <c r="N39" i="17" s="1"/>
  <c r="I40" i="17"/>
  <c r="N40" i="17" s="1"/>
  <c r="I41" i="17"/>
  <c r="N41" i="17" s="1"/>
  <c r="I42" i="17"/>
  <c r="I43" i="17"/>
  <c r="N43" i="17" s="1"/>
  <c r="I44" i="17"/>
  <c r="I45" i="17"/>
  <c r="N45" i="17" s="1"/>
  <c r="I46" i="17"/>
  <c r="I47" i="17"/>
  <c r="N47" i="17" s="1"/>
  <c r="I48" i="17"/>
  <c r="N48" i="17" s="1"/>
  <c r="I49" i="17"/>
  <c r="I50" i="17"/>
  <c r="N50" i="17" s="1"/>
  <c r="I51" i="17"/>
  <c r="N51" i="17" s="1"/>
  <c r="I52" i="17"/>
  <c r="N52" i="17" s="1"/>
  <c r="I53" i="17"/>
  <c r="N53" i="17" s="1"/>
  <c r="I54" i="17"/>
  <c r="N54" i="17" s="1"/>
  <c r="I55" i="17"/>
  <c r="N55" i="17" s="1"/>
  <c r="I56" i="17"/>
  <c r="I57" i="17"/>
  <c r="N57" i="17" s="1"/>
  <c r="I58" i="17"/>
  <c r="N58" i="17" s="1"/>
  <c r="I59" i="17"/>
  <c r="N59" i="17" s="1"/>
  <c r="I60" i="17"/>
  <c r="N60" i="17" s="1"/>
  <c r="I61" i="17"/>
  <c r="N61" i="17" s="1"/>
  <c r="I62" i="17"/>
  <c r="N62" i="17" s="1"/>
  <c r="I63" i="17"/>
  <c r="I64" i="17"/>
  <c r="I65" i="17"/>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I79" i="17"/>
  <c r="N79" i="17" s="1"/>
  <c r="I80" i="17"/>
  <c r="N80" i="17" s="1"/>
  <c r="I81" i="17"/>
  <c r="I82" i="17"/>
  <c r="N82" i="17" s="1"/>
  <c r="I83" i="17"/>
  <c r="N83" i="17" s="1"/>
  <c r="I84" i="17"/>
  <c r="I85" i="17"/>
  <c r="N85" i="17" s="1"/>
  <c r="I86" i="17"/>
  <c r="N86" i="17" s="1"/>
  <c r="I87" i="17"/>
  <c r="N87" i="17" s="1"/>
  <c r="I88" i="17"/>
  <c r="I89" i="17"/>
  <c r="I90" i="17"/>
  <c r="N90" i="17" s="1"/>
  <c r="I91" i="17"/>
  <c r="N91" i="17" s="1"/>
  <c r="I92" i="17"/>
  <c r="N92" i="17" s="1"/>
  <c r="I93" i="17"/>
  <c r="N93" i="17" s="1"/>
  <c r="I94" i="17"/>
  <c r="N94" i="17" s="1"/>
  <c r="I95" i="17"/>
  <c r="N95" i="17" s="1"/>
  <c r="I96" i="17"/>
  <c r="N96" i="17" s="1"/>
  <c r="I97" i="17"/>
  <c r="N97" i="17" s="1"/>
  <c r="I98" i="17"/>
  <c r="I99" i="17"/>
  <c r="N99" i="17" s="1"/>
  <c r="I100" i="17"/>
  <c r="N100" i="17" s="1"/>
  <c r="I101" i="17"/>
  <c r="N101" i="17" s="1"/>
  <c r="I102" i="17"/>
  <c r="N102" i="17" s="1"/>
  <c r="I103" i="17"/>
  <c r="I104" i="17"/>
  <c r="N104" i="17" s="1"/>
  <c r="I105" i="17"/>
  <c r="I106" i="17"/>
  <c r="I107" i="17"/>
  <c r="I108" i="17"/>
  <c r="N108" i="17" s="1"/>
  <c r="I109" i="17"/>
  <c r="N109" i="17" s="1"/>
  <c r="I110" i="17"/>
  <c r="N110" i="17" s="1"/>
  <c r="I111" i="17"/>
  <c r="N111" i="17" s="1"/>
  <c r="I112" i="17"/>
  <c r="N112" i="17" s="1"/>
  <c r="I113" i="17"/>
  <c r="N113" i="17" s="1"/>
  <c r="I114" i="17"/>
  <c r="N114" i="17" s="1"/>
  <c r="I115" i="17"/>
  <c r="N115" i="17" s="1"/>
  <c r="I116" i="17"/>
  <c r="I117" i="17"/>
  <c r="I118" i="17"/>
  <c r="I119" i="17"/>
  <c r="N119" i="17" s="1"/>
  <c r="I120" i="17"/>
  <c r="N120" i="17" s="1"/>
  <c r="I121" i="17"/>
  <c r="N121" i="17" s="1"/>
  <c r="I122" i="17"/>
  <c r="N122" i="17" s="1"/>
  <c r="I123" i="17"/>
  <c r="I124" i="17"/>
  <c r="N124" i="17" s="1"/>
  <c r="I125" i="17"/>
  <c r="N125" i="17" s="1"/>
  <c r="I126" i="17"/>
  <c r="N126" i="17" s="1"/>
  <c r="I127" i="17"/>
  <c r="N127" i="17" s="1"/>
  <c r="I128" i="17"/>
  <c r="N128" i="17" s="1"/>
  <c r="I129" i="17"/>
  <c r="I130" i="17"/>
  <c r="I131" i="17"/>
  <c r="N131" i="17" s="1"/>
  <c r="I132" i="17"/>
  <c r="N132" i="17" s="1"/>
  <c r="I133" i="17"/>
  <c r="N133" i="17" s="1"/>
  <c r="I134" i="17"/>
  <c r="N134" i="17" s="1"/>
  <c r="I135" i="17"/>
  <c r="I136" i="17"/>
  <c r="N136" i="17" s="1"/>
  <c r="I137" i="17"/>
  <c r="N137" i="17" s="1"/>
  <c r="I138" i="17"/>
  <c r="N138" i="17" s="1"/>
  <c r="I139" i="17"/>
  <c r="N139" i="17" s="1"/>
  <c r="I140" i="17"/>
  <c r="N140" i="17" s="1"/>
  <c r="I141" i="17"/>
  <c r="N141" i="17" s="1"/>
  <c r="I142" i="17"/>
  <c r="N142" i="17" s="1"/>
  <c r="I143" i="17"/>
  <c r="N143" i="17" s="1"/>
  <c r="I144" i="17"/>
  <c r="I145" i="17"/>
  <c r="N145" i="17" s="1"/>
  <c r="I146" i="17"/>
  <c r="I147" i="17"/>
  <c r="N147" i="17" s="1"/>
  <c r="I148" i="17"/>
  <c r="I149" i="17"/>
  <c r="I150" i="17"/>
  <c r="N150" i="17" s="1"/>
  <c r="I151" i="17"/>
  <c r="N151" i="17" s="1"/>
  <c r="I152" i="17"/>
  <c r="N152" i="17" s="1"/>
  <c r="I153" i="17"/>
  <c r="N153" i="17" s="1"/>
  <c r="I154" i="17"/>
  <c r="N154" i="17" s="1"/>
  <c r="I155" i="17"/>
  <c r="N155" i="17" s="1"/>
  <c r="I156" i="17"/>
  <c r="N156" i="17" s="1"/>
  <c r="I157" i="17"/>
  <c r="N157" i="17" s="1"/>
  <c r="I158" i="17"/>
  <c r="I159" i="17"/>
  <c r="N159" i="17" s="1"/>
  <c r="I160" i="17"/>
  <c r="N160" i="17" s="1"/>
  <c r="I161" i="17"/>
  <c r="N161" i="17" s="1"/>
  <c r="I162" i="17"/>
  <c r="N162" i="17" s="1"/>
  <c r="I163" i="17"/>
  <c r="I164" i="17"/>
  <c r="N164" i="17" s="1"/>
  <c r="I165" i="17"/>
  <c r="N165" i="17" s="1"/>
  <c r="I166" i="17"/>
  <c r="N166" i="17" s="1"/>
  <c r="I167" i="17"/>
  <c r="I168" i="17"/>
  <c r="I169" i="17"/>
  <c r="N169" i="17" s="1"/>
  <c r="I170" i="17"/>
  <c r="N170" i="17" s="1"/>
  <c r="I171" i="17"/>
  <c r="I172" i="17"/>
  <c r="N172" i="17" s="1"/>
  <c r="I173" i="17"/>
  <c r="N173" i="17" s="1"/>
  <c r="I174" i="17"/>
  <c r="N174" i="17" s="1"/>
  <c r="I175" i="17"/>
  <c r="N175" i="17" s="1"/>
  <c r="I176" i="17"/>
  <c r="N176" i="17" s="1"/>
  <c r="I177" i="17"/>
  <c r="I178" i="17"/>
  <c r="N178" i="17" s="1"/>
  <c r="I179" i="17"/>
  <c r="N179" i="17" s="1"/>
  <c r="I180" i="17"/>
  <c r="N180" i="17" s="1"/>
  <c r="I181" i="17"/>
  <c r="N181" i="17" s="1"/>
  <c r="I182" i="17"/>
  <c r="N182" i="17" s="1"/>
  <c r="I183" i="17"/>
  <c r="N183" i="17" s="1"/>
  <c r="I184" i="17"/>
  <c r="I185" i="17"/>
  <c r="I186" i="17"/>
  <c r="N186" i="17" s="1"/>
  <c r="I187" i="17"/>
  <c r="N187" i="17" s="1"/>
  <c r="I188" i="17"/>
  <c r="N188" i="17" s="1"/>
  <c r="I189" i="17"/>
  <c r="N189" i="17" s="1"/>
  <c r="I190" i="17"/>
  <c r="I191" i="17"/>
  <c r="N191" i="17" s="1"/>
  <c r="I192" i="17"/>
  <c r="N192" i="17" s="1"/>
  <c r="I193" i="17"/>
  <c r="N193" i="17" s="1"/>
  <c r="I194" i="17"/>
  <c r="I195" i="17"/>
  <c r="N195" i="17" s="1"/>
  <c r="I196" i="17"/>
  <c r="N196" i="17" s="1"/>
  <c r="I197" i="17"/>
  <c r="N197" i="17" s="1"/>
  <c r="I198" i="17"/>
  <c r="I199" i="17"/>
  <c r="N199" i="17" s="1"/>
  <c r="I200" i="17"/>
  <c r="I201" i="17"/>
  <c r="N201" i="17" s="1"/>
  <c r="I202" i="17"/>
  <c r="N202" i="17" s="1"/>
  <c r="I203" i="17"/>
  <c r="I204" i="17"/>
  <c r="N204" i="17" s="1"/>
  <c r="I205" i="17"/>
  <c r="I206" i="17"/>
  <c r="N206" i="17" s="1"/>
  <c r="I207" i="17"/>
  <c r="N207" i="17" s="1"/>
  <c r="I208" i="17"/>
  <c r="N208" i="17" s="1"/>
  <c r="I209" i="17"/>
  <c r="N209" i="17" s="1"/>
  <c r="I210" i="17"/>
  <c r="I211" i="17"/>
  <c r="N211" i="17" s="1"/>
  <c r="I212" i="17"/>
  <c r="N212" i="17" s="1"/>
  <c r="I213" i="17"/>
  <c r="N213" i="17" s="1"/>
  <c r="I214" i="17"/>
  <c r="N214" i="17" s="1"/>
  <c r="I215" i="17"/>
  <c r="N215" i="17" s="1"/>
  <c r="I216" i="17"/>
  <c r="N216" i="17" s="1"/>
  <c r="I217" i="17"/>
  <c r="N217" i="17" s="1"/>
  <c r="I218" i="17"/>
  <c r="I219" i="17"/>
  <c r="I220" i="17"/>
  <c r="N220" i="17" s="1"/>
  <c r="I221" i="17"/>
  <c r="N221" i="17" s="1"/>
  <c r="I222" i="17"/>
  <c r="N222" i="17" s="1"/>
  <c r="I223" i="17"/>
  <c r="N223" i="17" s="1"/>
  <c r="I224" i="17"/>
  <c r="I225" i="17"/>
  <c r="N225" i="17" s="1"/>
  <c r="I226" i="17"/>
  <c r="I227" i="17"/>
  <c r="N227" i="17" s="1"/>
  <c r="I228" i="17"/>
  <c r="N228" i="17" s="1"/>
  <c r="I229" i="17"/>
  <c r="N229" i="17" s="1"/>
  <c r="I230" i="17"/>
  <c r="N230" i="17" s="1"/>
  <c r="I231" i="17"/>
  <c r="I232" i="17"/>
  <c r="I233" i="17"/>
  <c r="N233" i="17" s="1"/>
  <c r="I234" i="17"/>
  <c r="N234" i="17" s="1"/>
  <c r="I235" i="17"/>
  <c r="N235" i="17" s="1"/>
  <c r="I236" i="17"/>
  <c r="N236" i="17" s="1"/>
  <c r="I237" i="17"/>
  <c r="N237" i="17" s="1"/>
  <c r="I238" i="17"/>
  <c r="N238" i="17" s="1"/>
  <c r="I239" i="17"/>
  <c r="N239" i="17" s="1"/>
  <c r="I240" i="17"/>
  <c r="N240" i="17" s="1"/>
  <c r="I241" i="17"/>
  <c r="N241" i="17" s="1"/>
  <c r="I242" i="17"/>
  <c r="I243" i="17"/>
  <c r="N243" i="17" s="1"/>
  <c r="I244" i="17"/>
  <c r="N244" i="17" s="1"/>
  <c r="I245" i="17"/>
  <c r="I246" i="17"/>
  <c r="N246" i="17" s="1"/>
  <c r="I247" i="17"/>
  <c r="N247" i="17" s="1"/>
  <c r="I248" i="17"/>
  <c r="N248" i="17" s="1"/>
  <c r="I249" i="17"/>
  <c r="I250" i="17"/>
  <c r="N250" i="17" s="1"/>
  <c r="I251" i="17"/>
  <c r="N251" i="17" s="1"/>
  <c r="I252" i="17"/>
  <c r="N252" i="17" s="1"/>
  <c r="I253" i="17"/>
  <c r="N253" i="17" s="1"/>
  <c r="I254" i="17"/>
  <c r="N254" i="17" s="1"/>
  <c r="I255" i="17"/>
  <c r="I256" i="17"/>
  <c r="I257" i="17"/>
  <c r="N257" i="17" s="1"/>
  <c r="I258" i="17"/>
  <c r="N258" i="17" s="1"/>
  <c r="I259" i="17"/>
  <c r="N259" i="17" s="1"/>
  <c r="I260" i="17"/>
  <c r="N260" i="17" s="1"/>
  <c r="I261" i="17"/>
  <c r="I262" i="17"/>
  <c r="N262" i="17" s="1"/>
  <c r="I263" i="17"/>
  <c r="N263" i="17" s="1"/>
  <c r="I264" i="17"/>
  <c r="N264" i="17" s="1"/>
  <c r="I265" i="17"/>
  <c r="N265" i="17" s="1"/>
  <c r="I266" i="17"/>
  <c r="I267" i="17"/>
  <c r="N267" i="17" s="1"/>
  <c r="I268" i="17"/>
  <c r="I269" i="17"/>
  <c r="N269" i="17" s="1"/>
  <c r="I270" i="17"/>
  <c r="N270" i="17" s="1"/>
  <c r="I271" i="17"/>
  <c r="N271" i="17" s="1"/>
  <c r="I272" i="17"/>
  <c r="N272" i="17" s="1"/>
  <c r="I273" i="17"/>
  <c r="I274" i="17"/>
  <c r="N274" i="17" s="1"/>
  <c r="I275" i="17"/>
  <c r="I276" i="17"/>
  <c r="N276" i="17" s="1"/>
  <c r="I277" i="17"/>
  <c r="N277" i="17" s="1"/>
  <c r="I278" i="17"/>
  <c r="N278" i="17" s="1"/>
  <c r="I279" i="17"/>
  <c r="N279" i="17" s="1"/>
  <c r="I280" i="17"/>
  <c r="I281" i="17"/>
  <c r="N281" i="17" s="1"/>
  <c r="I282" i="17"/>
  <c r="N282" i="17" s="1"/>
  <c r="I283" i="17"/>
  <c r="I284" i="17"/>
  <c r="N284" i="17" s="1"/>
  <c r="I285" i="17"/>
  <c r="N285" i="17" s="1"/>
  <c r="I286" i="17"/>
  <c r="N286" i="17" s="1"/>
  <c r="I287" i="17"/>
  <c r="I288" i="17"/>
  <c r="N288" i="17" s="1"/>
  <c r="I289" i="17"/>
  <c r="N289" i="17" s="1"/>
  <c r="I290" i="17"/>
  <c r="N290" i="17" s="1"/>
  <c r="I291" i="17"/>
  <c r="I292" i="17"/>
  <c r="I293" i="17"/>
  <c r="N293" i="17" s="1"/>
  <c r="I294" i="17"/>
  <c r="N294" i="17" s="1"/>
  <c r="I295" i="17"/>
  <c r="N295" i="17" s="1"/>
  <c r="I296" i="17"/>
  <c r="N296" i="17" s="1"/>
  <c r="I297" i="17"/>
  <c r="I298" i="17"/>
  <c r="I299" i="17"/>
  <c r="N299" i="17" s="1"/>
  <c r="I300" i="17"/>
  <c r="N300" i="17" s="1"/>
  <c r="I301" i="17"/>
  <c r="I302" i="17"/>
  <c r="I303" i="17"/>
  <c r="I304" i="17"/>
  <c r="N304" i="17" s="1"/>
  <c r="I305" i="17"/>
  <c r="N305" i="17" s="1"/>
  <c r="I306" i="17"/>
  <c r="N306" i="17" s="1"/>
  <c r="I307" i="17"/>
  <c r="N307" i="17" s="1"/>
  <c r="I308" i="17"/>
  <c r="N308" i="17" s="1"/>
  <c r="I309" i="17"/>
  <c r="N309" i="17" s="1"/>
  <c r="I310" i="17"/>
  <c r="N310" i="17" s="1"/>
  <c r="I311" i="17"/>
  <c r="N311" i="17" s="1"/>
  <c r="I312" i="17"/>
  <c r="I313" i="17"/>
  <c r="N313" i="17" s="1"/>
  <c r="I314" i="17"/>
  <c r="I315" i="17"/>
  <c r="I316" i="17"/>
  <c r="N316" i="17" s="1"/>
  <c r="I317" i="17"/>
  <c r="I318" i="17"/>
  <c r="N318" i="17" s="1"/>
  <c r="I319" i="17"/>
  <c r="N319" i="17" s="1"/>
  <c r="I320" i="17"/>
  <c r="N320" i="17" s="1"/>
  <c r="I321" i="17"/>
  <c r="N321" i="17" s="1"/>
  <c r="I322" i="17"/>
  <c r="I323" i="17"/>
  <c r="N323" i="17" s="1"/>
  <c r="I324" i="17"/>
  <c r="N324" i="17" s="1"/>
  <c r="I325" i="17"/>
  <c r="N325" i="17" s="1"/>
  <c r="I326" i="17"/>
  <c r="N326" i="17" s="1"/>
  <c r="I327" i="17"/>
  <c r="I328" i="17"/>
  <c r="N328" i="17" s="1"/>
  <c r="I329" i="17"/>
  <c r="N329" i="17" s="1"/>
  <c r="I330" i="17"/>
  <c r="N330" i="17" s="1"/>
  <c r="I331" i="17"/>
  <c r="N331" i="17" s="1"/>
  <c r="I332" i="17"/>
  <c r="N332" i="17" s="1"/>
  <c r="I333" i="17"/>
  <c r="I334" i="17"/>
  <c r="N334" i="17" s="1"/>
  <c r="I335" i="17"/>
  <c r="I336" i="17"/>
  <c r="I337" i="17"/>
  <c r="N337" i="17" s="1"/>
  <c r="I338" i="17"/>
  <c r="N338" i="17" s="1"/>
  <c r="I339" i="17"/>
  <c r="N339" i="17" s="1"/>
  <c r="I340" i="17"/>
  <c r="I341" i="17"/>
  <c r="I342" i="17"/>
  <c r="N342" i="17" s="1"/>
  <c r="I343" i="17"/>
  <c r="N343" i="17" s="1"/>
  <c r="I344" i="17"/>
  <c r="N344" i="17" s="1"/>
  <c r="I345" i="17"/>
  <c r="I346" i="17"/>
  <c r="N346" i="17" s="1"/>
  <c r="I347" i="17"/>
  <c r="N347" i="17" s="1"/>
  <c r="I348" i="17"/>
  <c r="I349" i="17"/>
  <c r="N349" i="17" s="1"/>
  <c r="I350" i="17"/>
  <c r="I351" i="17"/>
  <c r="N351" i="17" s="1"/>
  <c r="I352" i="17"/>
  <c r="N352" i="17" s="1"/>
  <c r="I353" i="17"/>
  <c r="N353" i="17" s="1"/>
  <c r="I354" i="17"/>
  <c r="N354" i="17" s="1"/>
  <c r="I355" i="17"/>
  <c r="N355" i="17" s="1"/>
  <c r="I356" i="17"/>
  <c r="I357" i="17"/>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I371" i="17"/>
  <c r="I372" i="17"/>
  <c r="N372" i="17" s="1"/>
  <c r="I373" i="17"/>
  <c r="I374" i="17"/>
  <c r="N374" i="17" s="1"/>
  <c r="I375" i="17"/>
  <c r="N375" i="17" s="1"/>
  <c r="I376" i="17"/>
  <c r="N376" i="17" s="1"/>
  <c r="I377" i="17"/>
  <c r="N377" i="17" s="1"/>
  <c r="I378" i="17"/>
  <c r="I379" i="17"/>
  <c r="N379" i="17" s="1"/>
  <c r="I380" i="17"/>
  <c r="I381" i="17"/>
  <c r="I382" i="17"/>
  <c r="N382" i="17" s="1"/>
  <c r="I383" i="17"/>
  <c r="N383" i="17" s="1"/>
  <c r="I384" i="17"/>
  <c r="N384" i="17" s="1"/>
  <c r="I385" i="17"/>
  <c r="N385" i="17" s="1"/>
  <c r="I386" i="17"/>
  <c r="N386" i="17" s="1"/>
  <c r="I387" i="17"/>
  <c r="I388" i="17"/>
  <c r="N388" i="17" s="1"/>
  <c r="I389" i="17"/>
  <c r="I390" i="17"/>
  <c r="I391" i="17"/>
  <c r="N391" i="17" s="1"/>
  <c r="I392" i="17"/>
  <c r="N392" i="17" s="1"/>
  <c r="I393" i="17"/>
  <c r="N393" i="17" s="1"/>
  <c r="I394" i="17"/>
  <c r="N394" i="17" s="1"/>
  <c r="I395" i="17"/>
  <c r="I396" i="17"/>
  <c r="N396" i="17" s="1"/>
  <c r="I397" i="17"/>
  <c r="N397" i="17" s="1"/>
  <c r="I398" i="17"/>
  <c r="N398" i="17" s="1"/>
  <c r="I399" i="17"/>
  <c r="N399" i="17" s="1"/>
  <c r="I400" i="17"/>
  <c r="N400" i="17" s="1"/>
  <c r="I401" i="17"/>
  <c r="I402" i="17"/>
  <c r="N402" i="17" s="1"/>
  <c r="I403" i="17"/>
  <c r="N403" i="17" s="1"/>
  <c r="I404" i="17"/>
  <c r="I405" i="17"/>
  <c r="N405" i="17" s="1"/>
  <c r="I406" i="17"/>
  <c r="I407" i="17"/>
  <c r="N407" i="17" s="1"/>
  <c r="I408" i="17"/>
  <c r="N408" i="17" s="1"/>
  <c r="I409" i="17"/>
  <c r="N409" i="17" s="1"/>
  <c r="I410" i="17"/>
  <c r="N410" i="17" s="1"/>
  <c r="I411" i="17"/>
  <c r="N411" i="17" s="1"/>
  <c r="I412" i="17"/>
  <c r="I413" i="17"/>
  <c r="N413" i="17" s="1"/>
  <c r="I414" i="17"/>
  <c r="N414" i="17" s="1"/>
  <c r="I415" i="17"/>
  <c r="N415" i="17" s="1"/>
  <c r="I416" i="17"/>
  <c r="N416" i="17" s="1"/>
  <c r="I417" i="17"/>
  <c r="N417" i="17" s="1"/>
  <c r="I418" i="17"/>
  <c r="N418" i="17" s="1"/>
  <c r="I419" i="17"/>
  <c r="N419" i="17" s="1"/>
  <c r="I420" i="17"/>
  <c r="I421" i="17"/>
  <c r="N421" i="17" s="1"/>
  <c r="I422" i="17"/>
  <c r="I423" i="17"/>
  <c r="N423" i="17" s="1"/>
  <c r="I424" i="17"/>
  <c r="I425" i="17"/>
  <c r="N425" i="17" s="1"/>
  <c r="I426" i="17"/>
  <c r="N426" i="17" s="1"/>
  <c r="I427" i="17"/>
  <c r="N427" i="17" s="1"/>
  <c r="I428" i="17"/>
  <c r="I429" i="17"/>
  <c r="I430" i="17"/>
  <c r="N430" i="17" s="1"/>
  <c r="I431" i="17"/>
  <c r="N431" i="17" s="1"/>
  <c r="I432" i="17"/>
  <c r="N432" i="17" s="1"/>
  <c r="I433" i="17"/>
  <c r="N433" i="17" s="1"/>
  <c r="I434" i="17"/>
  <c r="I435" i="17"/>
  <c r="N435" i="17" s="1"/>
  <c r="I436" i="17"/>
  <c r="N436" i="17" s="1"/>
  <c r="I437" i="17"/>
  <c r="N437" i="17" s="1"/>
  <c r="I438" i="17"/>
  <c r="N438" i="17" s="1"/>
  <c r="I439" i="17"/>
  <c r="N439" i="17" s="1"/>
  <c r="I440" i="17"/>
  <c r="I441" i="17"/>
  <c r="N441" i="17" s="1"/>
  <c r="I442" i="17"/>
  <c r="N442" i="17" s="1"/>
  <c r="I443" i="17"/>
  <c r="N443" i="17" s="1"/>
  <c r="I444" i="17"/>
  <c r="N444" i="17" s="1"/>
  <c r="I445" i="17"/>
  <c r="N445" i="17" s="1"/>
  <c r="I446" i="17"/>
  <c r="I447" i="17"/>
  <c r="N447" i="17" s="1"/>
  <c r="I448" i="17"/>
  <c r="I449" i="17"/>
  <c r="N449" i="17" s="1"/>
  <c r="I450" i="17"/>
  <c r="N450" i="17" s="1"/>
  <c r="I451" i="17"/>
  <c r="I452" i="17"/>
  <c r="I453" i="17"/>
  <c r="N453" i="17" s="1"/>
  <c r="I454" i="17"/>
  <c r="I455" i="17"/>
  <c r="N455" i="17" s="1"/>
  <c r="I456" i="17"/>
  <c r="N456" i="17" s="1"/>
  <c r="I457" i="17"/>
  <c r="N457" i="17" s="1"/>
  <c r="I458" i="17"/>
  <c r="N458" i="17" s="1"/>
  <c r="I459" i="17"/>
  <c r="N459" i="17" s="1"/>
  <c r="I460" i="17"/>
  <c r="N460" i="17" s="1"/>
  <c r="I461" i="17"/>
  <c r="I462" i="17"/>
  <c r="I463" i="17"/>
  <c r="N463" i="17" s="1"/>
  <c r="I464" i="17"/>
  <c r="N464" i="17" s="1"/>
  <c r="I465" i="17"/>
  <c r="I466" i="17"/>
  <c r="N466" i="17" s="1"/>
  <c r="I467" i="17"/>
  <c r="N467" i="17" s="1"/>
  <c r="I468" i="17"/>
  <c r="N468" i="17" s="1"/>
  <c r="I469" i="17"/>
  <c r="N469" i="17" s="1"/>
  <c r="I470" i="17"/>
  <c r="N470" i="17" s="1"/>
  <c r="I471" i="17"/>
  <c r="I472" i="17"/>
  <c r="N472" i="17" s="1"/>
  <c r="I473" i="17"/>
  <c r="N473" i="17" s="1"/>
  <c r="I474" i="17"/>
  <c r="N474" i="17" s="1"/>
  <c r="I475" i="17"/>
  <c r="N475" i="17" s="1"/>
  <c r="I476" i="17"/>
  <c r="I477" i="17"/>
  <c r="N477" i="17" s="1"/>
  <c r="I478" i="17"/>
  <c r="N478" i="17" s="1"/>
  <c r="I479" i="17"/>
  <c r="N479" i="17" s="1"/>
  <c r="I480" i="17"/>
  <c r="N480" i="17" s="1"/>
  <c r="I481" i="17"/>
  <c r="N481" i="17" s="1"/>
  <c r="I482" i="17"/>
  <c r="N482" i="17" s="1"/>
  <c r="I483" i="17"/>
  <c r="I484" i="17"/>
  <c r="N484" i="17" s="1"/>
  <c r="I485" i="17"/>
  <c r="I486" i="17"/>
  <c r="N486" i="17" s="1"/>
  <c r="I487" i="17"/>
  <c r="I488" i="17"/>
  <c r="I489" i="17"/>
  <c r="N489" i="17" s="1"/>
  <c r="I490" i="17"/>
  <c r="N490" i="17" s="1"/>
  <c r="I491" i="17"/>
  <c r="N491" i="17" s="1"/>
  <c r="I492" i="17"/>
  <c r="N492" i="17" s="1"/>
  <c r="I493" i="17"/>
  <c r="I494" i="17"/>
  <c r="I495" i="17"/>
  <c r="N495" i="17" s="1"/>
  <c r="I496" i="17"/>
  <c r="I497" i="17"/>
  <c r="N497" i="17" s="1"/>
  <c r="I498" i="17"/>
  <c r="N498" i="17" s="1"/>
  <c r="I499" i="17"/>
  <c r="I500" i="17"/>
  <c r="N500" i="17" s="1"/>
  <c r="I501" i="17"/>
  <c r="N501" i="17" s="1"/>
  <c r="I502" i="17"/>
  <c r="I503" i="17"/>
  <c r="I504" i="17"/>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I516" i="17"/>
  <c r="N516" i="17" s="1"/>
  <c r="I517" i="17"/>
  <c r="N517" i="17" s="1"/>
  <c r="I518" i="17"/>
  <c r="I519" i="17"/>
  <c r="N519" i="17" s="1"/>
  <c r="I520" i="17"/>
  <c r="N520" i="17" s="1"/>
  <c r="I521" i="17"/>
  <c r="N521" i="17" s="1"/>
  <c r="I522" i="17"/>
  <c r="I523" i="17"/>
  <c r="N523" i="17" s="1"/>
  <c r="I524" i="17"/>
  <c r="N524" i="17" s="1"/>
  <c r="I525" i="17"/>
  <c r="N525" i="17" s="1"/>
  <c r="I526" i="17"/>
  <c r="N526" i="17" s="1"/>
  <c r="I527" i="17"/>
  <c r="I528" i="17"/>
  <c r="N528" i="17" s="1"/>
  <c r="I529" i="17"/>
  <c r="N529" i="17" s="1"/>
  <c r="I530" i="17"/>
  <c r="I531" i="17"/>
  <c r="N531" i="17" s="1"/>
  <c r="I532" i="17"/>
  <c r="I533" i="17"/>
  <c r="N533" i="17" s="1"/>
  <c r="I534" i="17"/>
  <c r="N534" i="17" s="1"/>
  <c r="I535" i="17"/>
  <c r="I536" i="17"/>
  <c r="I537" i="17"/>
  <c r="N537" i="17" s="1"/>
  <c r="I538" i="17"/>
  <c r="N538" i="17" s="1"/>
  <c r="I539" i="17"/>
  <c r="N539" i="17" s="1"/>
  <c r="I540" i="17"/>
  <c r="N540" i="17" s="1"/>
  <c r="I541" i="17"/>
  <c r="N541" i="17" s="1"/>
  <c r="I542" i="17"/>
  <c r="N542" i="17" s="1"/>
  <c r="I543" i="17"/>
  <c r="I544" i="17"/>
  <c r="N544" i="17" s="1"/>
  <c r="I545" i="17"/>
  <c r="N545" i="17" s="1"/>
  <c r="I546" i="17"/>
  <c r="I547" i="17"/>
  <c r="N547" i="17" s="1"/>
  <c r="I548" i="17"/>
  <c r="N548" i="17" s="1"/>
  <c r="I549" i="17"/>
  <c r="I550" i="17"/>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I564" i="17"/>
  <c r="I565" i="17"/>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I577" i="17"/>
  <c r="I578" i="17"/>
  <c r="N578" i="17" s="1"/>
  <c r="I579" i="17"/>
  <c r="N579" i="17" s="1"/>
  <c r="I580" i="17"/>
  <c r="N580" i="17" s="1"/>
  <c r="I581" i="17"/>
  <c r="N581" i="17" s="1"/>
  <c r="I582" i="17"/>
  <c r="N582" i="17" s="1"/>
  <c r="I583" i="17"/>
  <c r="I584" i="17"/>
  <c r="N584" i="17" s="1"/>
  <c r="I585" i="17"/>
  <c r="N585" i="17" s="1"/>
  <c r="I586" i="17"/>
  <c r="N586" i="17" s="1"/>
  <c r="I587" i="17"/>
  <c r="N587" i="17" s="1"/>
  <c r="I588" i="17"/>
  <c r="I589" i="17"/>
  <c r="N589" i="17" s="1"/>
  <c r="I590" i="17"/>
  <c r="N590" i="17" s="1"/>
  <c r="I591" i="17"/>
  <c r="N591" i="17" s="1"/>
  <c r="I592" i="17"/>
  <c r="N592" i="17" s="1"/>
  <c r="I593" i="17"/>
  <c r="I594" i="17"/>
  <c r="I595" i="17"/>
  <c r="N595" i="17" s="1"/>
  <c r="I596" i="17"/>
  <c r="N596" i="17" s="1"/>
  <c r="I597" i="17"/>
  <c r="N597" i="17" s="1"/>
  <c r="I598" i="17"/>
  <c r="N598" i="17" s="1"/>
  <c r="I599" i="17"/>
  <c r="N599" i="17" s="1"/>
  <c r="I600" i="17"/>
  <c r="N600" i="17" s="1"/>
  <c r="I601" i="17"/>
  <c r="I602" i="17"/>
  <c r="I603" i="17"/>
  <c r="N603" i="17" s="1"/>
  <c r="I604" i="17"/>
  <c r="N604" i="17" s="1"/>
  <c r="I605" i="17"/>
  <c r="N605" i="17" s="1"/>
  <c r="I606" i="17"/>
  <c r="N606" i="17" s="1"/>
  <c r="I607" i="17"/>
  <c r="N607" i="17" s="1"/>
  <c r="I608" i="17"/>
  <c r="I609" i="17"/>
  <c r="N609" i="17" s="1"/>
  <c r="I610" i="17"/>
  <c r="N610" i="17" s="1"/>
  <c r="I611" i="17"/>
  <c r="I612" i="17"/>
  <c r="N612" i="17" s="1"/>
  <c r="I613" i="17"/>
  <c r="N613" i="17" s="1"/>
  <c r="I614" i="17"/>
  <c r="N614" i="17" s="1"/>
  <c r="I615" i="17"/>
  <c r="N615" i="17" s="1"/>
  <c r="I616" i="17"/>
  <c r="I617" i="17"/>
  <c r="N617" i="17" s="1"/>
  <c r="I618" i="17"/>
  <c r="N618" i="17" s="1"/>
  <c r="I619" i="17"/>
  <c r="N619" i="17" s="1"/>
  <c r="I620" i="17"/>
  <c r="N620" i="17" s="1"/>
  <c r="I621" i="17"/>
  <c r="I622" i="17"/>
  <c r="I623" i="17"/>
  <c r="N623" i="17" s="1"/>
  <c r="I624" i="17"/>
  <c r="N624" i="17" s="1"/>
  <c r="I625" i="17"/>
  <c r="I626" i="17"/>
  <c r="N626" i="17" s="1"/>
  <c r="I627" i="17"/>
  <c r="N627" i="17" s="1"/>
  <c r="I628" i="17"/>
  <c r="N628" i="17" s="1"/>
  <c r="I629" i="17"/>
  <c r="N629" i="17" s="1"/>
  <c r="I630" i="17"/>
  <c r="N630" i="17" s="1"/>
  <c r="I631" i="17"/>
  <c r="N631" i="17" s="1"/>
  <c r="I632" i="17"/>
  <c r="I633" i="17"/>
  <c r="I634" i="17"/>
  <c r="I635" i="17"/>
  <c r="N635" i="17" s="1"/>
  <c r="I636" i="17"/>
  <c r="N636" i="17" s="1"/>
  <c r="I637" i="17"/>
  <c r="N637" i="17" s="1"/>
  <c r="I638" i="17"/>
  <c r="N638" i="17" s="1"/>
  <c r="I639" i="17"/>
  <c r="I640" i="17"/>
  <c r="N640" i="17" s="1"/>
  <c r="I641" i="17"/>
  <c r="I642" i="17"/>
  <c r="N642" i="17" s="1"/>
  <c r="I643" i="17"/>
  <c r="I644" i="17"/>
  <c r="N644" i="17" s="1"/>
  <c r="I645" i="17"/>
  <c r="N645" i="17" s="1"/>
  <c r="I646" i="17"/>
  <c r="N646" i="17" s="1"/>
  <c r="I647" i="17"/>
  <c r="I648" i="17"/>
  <c r="N648" i="17" s="1"/>
  <c r="I649" i="17"/>
  <c r="N649" i="17" s="1"/>
  <c r="I650" i="17"/>
  <c r="N650" i="17" s="1"/>
  <c r="I651" i="17"/>
  <c r="N651" i="17" s="1"/>
  <c r="I652" i="17"/>
  <c r="N652" i="17" s="1"/>
  <c r="I653" i="17"/>
  <c r="I654" i="17"/>
  <c r="N654" i="17" s="1"/>
  <c r="I655" i="17"/>
  <c r="N655" i="17" s="1"/>
  <c r="I656" i="17"/>
  <c r="N656" i="17" s="1"/>
  <c r="I657" i="17"/>
  <c r="N657" i="17" s="1"/>
  <c r="I658" i="17"/>
  <c r="I659" i="17"/>
  <c r="N659" i="17" s="1"/>
  <c r="I660" i="17"/>
  <c r="N660" i="17" s="1"/>
  <c r="I661" i="17"/>
  <c r="N661" i="17" s="1"/>
  <c r="I662" i="17"/>
  <c r="I663" i="17"/>
  <c r="N663" i="17" s="1"/>
  <c r="I664" i="17"/>
  <c r="I665" i="17"/>
  <c r="N665" i="17" s="1"/>
  <c r="I666" i="17"/>
  <c r="I667" i="17"/>
  <c r="I668" i="17"/>
  <c r="N668" i="17" s="1"/>
  <c r="I669" i="17"/>
  <c r="N669" i="17" s="1"/>
  <c r="I670" i="17"/>
  <c r="N670" i="17" s="1"/>
  <c r="I671" i="17"/>
  <c r="N671" i="17" s="1"/>
  <c r="I672" i="17"/>
  <c r="I673" i="17"/>
  <c r="N673" i="17" s="1"/>
  <c r="I674" i="17"/>
  <c r="N674" i="17" s="1"/>
  <c r="I675" i="17"/>
  <c r="N675" i="17" s="1"/>
  <c r="I676" i="17"/>
  <c r="N676" i="17" s="1"/>
  <c r="I677" i="17"/>
  <c r="N677" i="17" s="1"/>
  <c r="I678" i="17"/>
  <c r="I679" i="17"/>
  <c r="I680" i="17"/>
  <c r="N680" i="17" s="1"/>
  <c r="I681" i="17"/>
  <c r="I682" i="17"/>
  <c r="N682" i="17" s="1"/>
  <c r="I683" i="17"/>
  <c r="I684" i="17"/>
  <c r="I685" i="17"/>
  <c r="N685" i="17" s="1"/>
  <c r="I686" i="17"/>
  <c r="I687" i="17"/>
  <c r="N687" i="17" s="1"/>
  <c r="I688" i="17"/>
  <c r="N688" i="17" s="1"/>
  <c r="I689" i="17"/>
  <c r="I690" i="17"/>
  <c r="N690" i="17" s="1"/>
  <c r="I691" i="17"/>
  <c r="N691" i="17" s="1"/>
  <c r="I692" i="17"/>
  <c r="N692" i="17" s="1"/>
  <c r="I693" i="17"/>
  <c r="N693" i="17" s="1"/>
  <c r="I694" i="17"/>
  <c r="N694" i="17" s="1"/>
  <c r="I695" i="17"/>
  <c r="N695" i="17" s="1"/>
  <c r="I696" i="17"/>
  <c r="N696" i="17" s="1"/>
  <c r="I697" i="17"/>
  <c r="I698" i="17"/>
  <c r="I699" i="17"/>
  <c r="I700" i="17"/>
  <c r="N700" i="17" s="1"/>
  <c r="I701" i="17"/>
  <c r="N701" i="17" s="1"/>
  <c r="I702" i="17"/>
  <c r="N702" i="17" s="1"/>
  <c r="I703" i="17"/>
  <c r="I704" i="17"/>
  <c r="N704" i="17" s="1"/>
  <c r="I705" i="17"/>
  <c r="N705" i="17" s="1"/>
  <c r="I706" i="17"/>
  <c r="N706" i="17" s="1"/>
  <c r="I707" i="17"/>
  <c r="N707" i="17" s="1"/>
  <c r="I708" i="17"/>
  <c r="N708" i="17" s="1"/>
  <c r="I709" i="17"/>
  <c r="I710" i="17"/>
  <c r="N710" i="17" s="1"/>
  <c r="I711" i="17"/>
  <c r="N711" i="17" s="1"/>
  <c r="I712" i="17"/>
  <c r="N712" i="17" s="1"/>
  <c r="I713" i="17"/>
  <c r="N713" i="17" s="1"/>
  <c r="I714" i="17"/>
  <c r="N714" i="17" s="1"/>
  <c r="I715" i="17"/>
  <c r="N715" i="17" s="1"/>
  <c r="I716" i="17"/>
  <c r="N716" i="17" s="1"/>
  <c r="I717" i="17"/>
  <c r="I718" i="17"/>
  <c r="N718" i="17" s="1"/>
  <c r="I719" i="17"/>
  <c r="N719" i="17" s="1"/>
  <c r="I720" i="17"/>
  <c r="N720" i="17" s="1"/>
  <c r="I721" i="17"/>
  <c r="I722" i="17"/>
  <c r="N722" i="17" s="1"/>
  <c r="I723" i="17"/>
  <c r="I724" i="17"/>
  <c r="N724" i="17" s="1"/>
  <c r="I725" i="17"/>
  <c r="N725" i="17" s="1"/>
  <c r="I726" i="17"/>
  <c r="I727" i="17"/>
  <c r="I728" i="17"/>
  <c r="I729" i="17"/>
  <c r="N729" i="17" s="1"/>
  <c r="I730" i="17"/>
  <c r="N730" i="17" s="1"/>
  <c r="I731" i="17"/>
  <c r="N731" i="17" s="1"/>
  <c r="I732" i="17"/>
  <c r="I733" i="17"/>
  <c r="N733" i="17" s="1"/>
  <c r="I734" i="17"/>
  <c r="N734" i="17" s="1"/>
  <c r="I735" i="17"/>
  <c r="N735" i="17" s="1"/>
  <c r="I736" i="17"/>
  <c r="N736" i="17" s="1"/>
  <c r="I737" i="17"/>
  <c r="N737" i="17" s="1"/>
  <c r="I738" i="17"/>
  <c r="N738" i="17" s="1"/>
  <c r="I739" i="17"/>
  <c r="I740" i="17"/>
  <c r="I741" i="17"/>
  <c r="N741" i="17" s="1"/>
  <c r="I742" i="17"/>
  <c r="I743" i="17"/>
  <c r="N743" i="17" s="1"/>
  <c r="I744" i="17"/>
  <c r="I745" i="17"/>
  <c r="I746" i="17"/>
  <c r="N746" i="17" s="1"/>
  <c r="I747" i="17"/>
  <c r="N747" i="17" s="1"/>
  <c r="I748" i="17"/>
  <c r="N748" i="17" s="1"/>
  <c r="I749" i="17"/>
  <c r="N749" i="17" s="1"/>
  <c r="I750" i="17"/>
  <c r="N750" i="17" s="1"/>
  <c r="I751" i="17"/>
  <c r="I752" i="17"/>
  <c r="N752" i="17" s="1"/>
  <c r="I753" i="17"/>
  <c r="N753" i="17" s="1"/>
  <c r="I754" i="17"/>
  <c r="I755" i="17"/>
  <c r="N755" i="17" s="1"/>
  <c r="I756" i="17"/>
  <c r="I757" i="17"/>
  <c r="I758" i="17"/>
  <c r="N758" i="17" s="1"/>
  <c r="I759" i="17"/>
  <c r="I760" i="17"/>
  <c r="I761" i="17"/>
  <c r="N761" i="17" s="1"/>
  <c r="I762" i="17"/>
  <c r="N762" i="17" s="1"/>
  <c r="I763" i="17"/>
  <c r="N763" i="17" s="1"/>
  <c r="I764" i="17"/>
  <c r="N764" i="17" s="1"/>
  <c r="I765" i="17"/>
  <c r="N765" i="17" s="1"/>
  <c r="I766" i="17"/>
  <c r="N766" i="17" s="1"/>
  <c r="I767" i="17"/>
  <c r="N767" i="17" s="1"/>
  <c r="I768" i="17"/>
  <c r="I769" i="17"/>
  <c r="I770" i="17"/>
  <c r="I771" i="17"/>
  <c r="N771" i="17" s="1"/>
  <c r="I772" i="17"/>
  <c r="N772" i="17" s="1"/>
  <c r="I773" i="17"/>
  <c r="I774" i="17"/>
  <c r="N774" i="17" s="1"/>
  <c r="I775" i="17"/>
  <c r="N775" i="17" s="1"/>
  <c r="I776" i="17"/>
  <c r="N776" i="17" s="1"/>
  <c r="I777" i="17"/>
  <c r="I778" i="17"/>
  <c r="N778" i="17" s="1"/>
  <c r="I779" i="17"/>
  <c r="I780" i="17"/>
  <c r="N780" i="17" s="1"/>
  <c r="I781" i="17"/>
  <c r="N781" i="17" s="1"/>
  <c r="I782" i="17"/>
  <c r="N782" i="17" s="1"/>
  <c r="I783" i="17"/>
  <c r="N783" i="17" s="1"/>
  <c r="I784" i="17"/>
  <c r="I785" i="17"/>
  <c r="N785" i="17" s="1"/>
  <c r="I786" i="17"/>
  <c r="I787" i="17"/>
  <c r="N787" i="17" s="1"/>
  <c r="I788" i="17"/>
  <c r="I789" i="17"/>
  <c r="N789" i="17" s="1"/>
  <c r="I790" i="17"/>
  <c r="N790" i="17" s="1"/>
  <c r="I791" i="17"/>
  <c r="N791" i="17" s="1"/>
  <c r="I792" i="17"/>
  <c r="N792" i="17" s="1"/>
  <c r="I793" i="17"/>
  <c r="I794" i="17"/>
  <c r="N794" i="17" s="1"/>
  <c r="I795" i="17"/>
  <c r="I796" i="17"/>
  <c r="N796" i="17" s="1"/>
  <c r="I797" i="17"/>
  <c r="N797" i="17" s="1"/>
  <c r="I798" i="17"/>
  <c r="N798" i="17" s="1"/>
  <c r="I799" i="17"/>
  <c r="N799" i="17" s="1"/>
  <c r="I800" i="17"/>
  <c r="I801" i="17"/>
  <c r="I802" i="17"/>
  <c r="I803" i="17"/>
  <c r="N803" i="17" s="1"/>
  <c r="I804" i="17"/>
  <c r="N804" i="17" s="1"/>
  <c r="I805" i="17"/>
  <c r="N805" i="17" s="1"/>
  <c r="I806" i="17"/>
  <c r="I807" i="17"/>
  <c r="I808" i="17"/>
  <c r="N808" i="17" s="1"/>
  <c r="I809" i="17"/>
  <c r="N809" i="17" s="1"/>
  <c r="I810" i="17"/>
  <c r="N810" i="17" s="1"/>
  <c r="I811" i="17"/>
  <c r="N811" i="17" s="1"/>
  <c r="I812" i="17"/>
  <c r="I813" i="17"/>
  <c r="N813" i="17" s="1"/>
  <c r="I814" i="17"/>
  <c r="N814" i="17" s="1"/>
  <c r="I815" i="17"/>
  <c r="N815" i="17" s="1"/>
  <c r="I816" i="17"/>
  <c r="I817" i="17"/>
  <c r="I818" i="17"/>
  <c r="N818" i="17" s="1"/>
  <c r="I819" i="17"/>
  <c r="N819" i="17" s="1"/>
  <c r="I820" i="17"/>
  <c r="N820" i="17" s="1"/>
  <c r="I821" i="17"/>
  <c r="I822" i="17"/>
  <c r="N822" i="17" s="1"/>
  <c r="I823" i="17"/>
  <c r="I824" i="17"/>
  <c r="N824" i="17" s="1"/>
  <c r="I825" i="17"/>
  <c r="N825" i="17" s="1"/>
  <c r="I826" i="17"/>
  <c r="I827" i="17"/>
  <c r="N827" i="17" s="1"/>
  <c r="I828" i="17"/>
  <c r="N828" i="17" s="1"/>
  <c r="I829" i="17"/>
  <c r="I830" i="17"/>
  <c r="N830" i="17" s="1"/>
  <c r="I831" i="17"/>
  <c r="N831" i="17" s="1"/>
  <c r="I832" i="17"/>
  <c r="N832" i="17" s="1"/>
  <c r="I833" i="17"/>
  <c r="N833" i="17" s="1"/>
  <c r="I834" i="17"/>
  <c r="I835" i="17"/>
  <c r="I836" i="17"/>
  <c r="N836" i="17" s="1"/>
  <c r="I837" i="17"/>
  <c r="N837" i="17" s="1"/>
  <c r="I838" i="17"/>
  <c r="N838" i="17" s="1"/>
  <c r="I839" i="17"/>
  <c r="N839" i="17" s="1"/>
  <c r="I840" i="17"/>
  <c r="I841" i="17"/>
  <c r="N841" i="17" s="1"/>
  <c r="I842" i="17"/>
  <c r="I843" i="17"/>
  <c r="I844" i="17"/>
  <c r="N844" i="17" s="1"/>
  <c r="I845" i="17"/>
  <c r="N845" i="17" s="1"/>
  <c r="I846" i="17"/>
  <c r="N846" i="17" s="1"/>
  <c r="I847" i="17"/>
  <c r="N847" i="17" s="1"/>
  <c r="I848" i="17"/>
  <c r="N848" i="17" s="1"/>
  <c r="I849" i="17"/>
  <c r="I850" i="17"/>
  <c r="N850" i="17" s="1"/>
  <c r="I851" i="17"/>
  <c r="N851" i="17" s="1"/>
  <c r="I852" i="17"/>
  <c r="I853" i="17"/>
  <c r="N853" i="17" s="1"/>
  <c r="I854" i="17"/>
  <c r="I855" i="17"/>
  <c r="N855" i="17" s="1"/>
  <c r="I856" i="17"/>
  <c r="N856" i="17" s="1"/>
  <c r="I857" i="17"/>
  <c r="I858" i="17"/>
  <c r="I859" i="17"/>
  <c r="I860" i="17"/>
  <c r="N860" i="17" s="1"/>
  <c r="I861" i="17"/>
  <c r="N861" i="17" s="1"/>
  <c r="I862" i="17"/>
  <c r="N862" i="17" s="1"/>
  <c r="I863" i="17"/>
  <c r="N863" i="17" s="1"/>
  <c r="I864" i="17"/>
  <c r="N864" i="17" s="1"/>
  <c r="I865" i="17"/>
  <c r="N865" i="17" s="1"/>
  <c r="I866" i="17"/>
  <c r="N866" i="17" s="1"/>
  <c r="I867" i="17"/>
  <c r="N867" i="17" s="1"/>
  <c r="I868" i="17"/>
  <c r="I869" i="17"/>
  <c r="N869" i="17" s="1"/>
  <c r="I870" i="17"/>
  <c r="I871" i="17"/>
  <c r="I872" i="17"/>
  <c r="N872" i="17" s="1"/>
  <c r="I873" i="17"/>
  <c r="N873" i="17" s="1"/>
  <c r="I874" i="17"/>
  <c r="N874" i="17" s="1"/>
  <c r="I875" i="17"/>
  <c r="I876" i="17"/>
  <c r="N876" i="17" s="1"/>
  <c r="I877" i="17"/>
  <c r="I878" i="17"/>
  <c r="N878" i="17" s="1"/>
  <c r="I879" i="17"/>
  <c r="N879" i="17" s="1"/>
  <c r="I880" i="17"/>
  <c r="N880" i="17" s="1"/>
  <c r="I881" i="17"/>
  <c r="N881" i="17" s="1"/>
  <c r="I882" i="17"/>
  <c r="I883" i="17"/>
  <c r="N883" i="17" s="1"/>
  <c r="I884" i="17"/>
  <c r="I885" i="17"/>
  <c r="N885" i="17" s="1"/>
  <c r="I886" i="17"/>
  <c r="I887" i="17"/>
  <c r="I888" i="17"/>
  <c r="N888" i="17" s="1"/>
  <c r="I889" i="17"/>
  <c r="N889" i="17" s="1"/>
  <c r="I890" i="17"/>
  <c r="N890" i="17" s="1"/>
  <c r="I891" i="17"/>
  <c r="I892" i="17"/>
  <c r="N892" i="17" s="1"/>
  <c r="I893" i="17"/>
  <c r="N893" i="17" s="1"/>
  <c r="I894" i="17"/>
  <c r="N894" i="17" s="1"/>
  <c r="I895" i="17"/>
  <c r="N895" i="17" s="1"/>
  <c r="I896" i="17"/>
  <c r="N896" i="17" s="1"/>
  <c r="I897" i="17"/>
  <c r="N897" i="17" s="1"/>
  <c r="I898" i="17"/>
  <c r="N898" i="17" s="1"/>
  <c r="I899" i="17"/>
  <c r="I900" i="17"/>
  <c r="I901" i="17"/>
  <c r="N901" i="17" s="1"/>
  <c r="I902" i="17"/>
  <c r="N902" i="17" s="1"/>
  <c r="I903" i="17"/>
  <c r="I904" i="17"/>
  <c r="I905" i="17"/>
  <c r="I906" i="17"/>
  <c r="N906" i="17" s="1"/>
  <c r="I907" i="17"/>
  <c r="N907" i="17" s="1"/>
  <c r="I908" i="17"/>
  <c r="N908" i="17" s="1"/>
  <c r="I909" i="17"/>
  <c r="N909" i="17" s="1"/>
  <c r="I910" i="17"/>
  <c r="I911" i="17"/>
  <c r="N911" i="17" s="1"/>
  <c r="I912" i="17"/>
  <c r="N912" i="17" s="1"/>
  <c r="I913" i="17"/>
  <c r="N913" i="17" s="1"/>
  <c r="I914" i="17"/>
  <c r="I915" i="17"/>
  <c r="N915" i="17" s="1"/>
  <c r="I916" i="17"/>
  <c r="N916" i="17" s="1"/>
  <c r="I917" i="17"/>
  <c r="N917" i="17" s="1"/>
  <c r="I918" i="17"/>
  <c r="N918" i="17" s="1"/>
  <c r="I919" i="17"/>
  <c r="I920" i="17"/>
  <c r="N920" i="17" s="1"/>
  <c r="I921" i="17"/>
  <c r="N921" i="17" s="1"/>
  <c r="I922" i="17"/>
  <c r="N922" i="17" s="1"/>
  <c r="I923" i="17"/>
  <c r="N923" i="17" s="1"/>
  <c r="I924" i="17"/>
  <c r="I925" i="17"/>
  <c r="N925" i="17" s="1"/>
  <c r="I926" i="17"/>
  <c r="N926" i="17" s="1"/>
  <c r="I927" i="17"/>
  <c r="I928" i="17"/>
  <c r="N928" i="17" s="1"/>
  <c r="I929" i="17"/>
  <c r="N929" i="17" s="1"/>
  <c r="I930" i="17"/>
  <c r="N930" i="17" s="1"/>
  <c r="I931" i="17"/>
  <c r="I932" i="17"/>
  <c r="I933" i="17"/>
  <c r="I934" i="17"/>
  <c r="N934" i="17" s="1"/>
  <c r="I935" i="17"/>
  <c r="N935" i="17" s="1"/>
  <c r="I936" i="17"/>
  <c r="N936" i="17" s="1"/>
  <c r="I937" i="17"/>
  <c r="N937" i="17" s="1"/>
  <c r="I938" i="17"/>
  <c r="I939" i="17"/>
  <c r="N939" i="17" s="1"/>
  <c r="I940" i="17"/>
  <c r="I941" i="17"/>
  <c r="I942" i="17"/>
  <c r="N942" i="17" s="1"/>
  <c r="I943" i="17"/>
  <c r="N943" i="17" s="1"/>
  <c r="I944" i="17"/>
  <c r="N944" i="17" s="1"/>
  <c r="I945" i="17"/>
  <c r="N945" i="17" s="1"/>
  <c r="I946" i="17"/>
  <c r="N946" i="17" s="1"/>
  <c r="I947" i="17"/>
  <c r="I948" i="17"/>
  <c r="N948" i="17" s="1"/>
  <c r="I949" i="17"/>
  <c r="I950" i="17"/>
  <c r="N950" i="17" s="1"/>
  <c r="I951" i="17"/>
  <c r="N951" i="17" s="1"/>
  <c r="I952" i="17"/>
  <c r="I953" i="17"/>
  <c r="N953" i="17" s="1"/>
  <c r="I954" i="17"/>
  <c r="N954" i="17" s="1"/>
  <c r="I955" i="17"/>
  <c r="I956" i="17"/>
  <c r="I957" i="17"/>
  <c r="I958" i="17"/>
  <c r="N958" i="17" s="1"/>
  <c r="I959" i="17"/>
  <c r="N959" i="17" s="1"/>
  <c r="I960" i="17"/>
  <c r="N960" i="17" s="1"/>
  <c r="I961" i="17"/>
  <c r="N961" i="17" s="1"/>
  <c r="I962" i="17"/>
  <c r="N962" i="17" s="1"/>
  <c r="I963" i="17"/>
  <c r="N963" i="17" s="1"/>
  <c r="I964" i="17"/>
  <c r="N964" i="17" s="1"/>
  <c r="I965" i="17"/>
  <c r="N965" i="17" s="1"/>
  <c r="I966" i="17"/>
  <c r="I967" i="17"/>
  <c r="N967" i="17" s="1"/>
  <c r="I968" i="17"/>
  <c r="I969" i="17"/>
  <c r="I970" i="17"/>
  <c r="N970" i="17" s="1"/>
  <c r="I971" i="17"/>
  <c r="N971" i="17" s="1"/>
  <c r="I972" i="17"/>
  <c r="N972" i="17" s="1"/>
  <c r="I973" i="17"/>
  <c r="N973" i="17" s="1"/>
  <c r="I974" i="17"/>
  <c r="N974" i="17" s="1"/>
  <c r="I975" i="17"/>
  <c r="I976" i="17"/>
  <c r="N976" i="17" s="1"/>
  <c r="I977" i="17"/>
  <c r="N977" i="17" s="1"/>
  <c r="I978" i="17"/>
  <c r="N978" i="17" s="1"/>
  <c r="I979" i="17"/>
  <c r="N979" i="17" s="1"/>
  <c r="I980" i="17"/>
  <c r="I981" i="17"/>
  <c r="N981" i="17" s="1"/>
  <c r="I982" i="17"/>
  <c r="I983" i="17"/>
  <c r="N983" i="17" s="1"/>
  <c r="I984" i="17"/>
  <c r="I985" i="17"/>
  <c r="I986" i="17"/>
  <c r="N986" i="17" s="1"/>
  <c r="I987" i="17"/>
  <c r="N987" i="17" s="1"/>
  <c r="I988" i="17"/>
  <c r="N988" i="17" s="1"/>
  <c r="I989" i="17"/>
  <c r="I990" i="17"/>
  <c r="N990" i="17" s="1"/>
  <c r="I991" i="17"/>
  <c r="N991" i="17" s="1"/>
  <c r="I992" i="17"/>
  <c r="N992" i="17" s="1"/>
  <c r="I993" i="17"/>
  <c r="N993" i="17" s="1"/>
  <c r="I994" i="17"/>
  <c r="N994" i="17" s="1"/>
  <c r="I995" i="17"/>
  <c r="N995" i="17" s="1"/>
  <c r="I996" i="17"/>
  <c r="N996" i="17" s="1"/>
  <c r="I997" i="17"/>
  <c r="I998" i="17"/>
  <c r="I999" i="17"/>
  <c r="N999" i="17" s="1"/>
  <c r="I1000" i="17"/>
  <c r="N1000" i="17" s="1"/>
  <c r="I1001" i="17"/>
  <c r="I2" i="17"/>
  <c r="N2" i="17" s="1"/>
  <c r="M5" i="17"/>
  <c r="M6" i="17"/>
  <c r="M9" i="17"/>
  <c r="M16" i="17"/>
  <c r="M19" i="17"/>
  <c r="M20" i="17"/>
  <c r="M21" i="17"/>
  <c r="M23" i="17"/>
  <c r="M24" i="17"/>
  <c r="M30" i="17"/>
  <c r="M33" i="17"/>
  <c r="M34" i="17"/>
  <c r="M35" i="17"/>
  <c r="M42" i="17"/>
  <c r="M44" i="17"/>
  <c r="M47" i="17"/>
  <c r="M48" i="17"/>
  <c r="M49" i="17"/>
  <c r="M51" i="17"/>
  <c r="M56" i="17"/>
  <c r="M58" i="17"/>
  <c r="M61" i="17"/>
  <c r="M62" i="17"/>
  <c r="M63" i="17"/>
  <c r="M70" i="17"/>
  <c r="M72" i="17"/>
  <c r="M75" i="17"/>
  <c r="M79" i="17"/>
  <c r="M84" i="17"/>
  <c r="M86" i="17"/>
  <c r="M89" i="17"/>
  <c r="M90" i="17"/>
  <c r="M93" i="17"/>
  <c r="M94" i="17"/>
  <c r="M100" i="17"/>
  <c r="M103" i="17"/>
  <c r="M104" i="17"/>
  <c r="M107" i="17"/>
  <c r="M114" i="17"/>
  <c r="M117" i="17"/>
  <c r="M118" i="17"/>
  <c r="M119" i="17"/>
  <c r="M121" i="17"/>
  <c r="M122" i="17"/>
  <c r="M128" i="17"/>
  <c r="M131" i="17"/>
  <c r="M132" i="17"/>
  <c r="M133" i="17"/>
  <c r="M140" i="17"/>
  <c r="M142" i="17"/>
  <c r="M145" i="17"/>
  <c r="M146" i="17"/>
  <c r="M147" i="17"/>
  <c r="M149" i="17"/>
  <c r="M154" i="17"/>
  <c r="M156" i="17"/>
  <c r="M159" i="17"/>
  <c r="M160" i="17"/>
  <c r="M161" i="17"/>
  <c r="M168" i="17"/>
  <c r="M170" i="17"/>
  <c r="M173" i="17"/>
  <c r="M177" i="17"/>
  <c r="M182" i="17"/>
  <c r="M184" i="17"/>
  <c r="M187" i="17"/>
  <c r="M188" i="17"/>
  <c r="M191" i="17"/>
  <c r="M192" i="17"/>
  <c r="M198" i="17"/>
  <c r="M201" i="17"/>
  <c r="M202" i="17"/>
  <c r="M205" i="17"/>
  <c r="M212" i="17"/>
  <c r="M215" i="17"/>
  <c r="M216" i="17"/>
  <c r="M217" i="17"/>
  <c r="M219" i="17"/>
  <c r="M220" i="17"/>
  <c r="M226" i="17"/>
  <c r="M229" i="17"/>
  <c r="M230" i="17"/>
  <c r="M231" i="17"/>
  <c r="M238" i="17"/>
  <c r="M240" i="17"/>
  <c r="M243" i="17"/>
  <c r="M244" i="17"/>
  <c r="M245" i="17"/>
  <c r="M247" i="17"/>
  <c r="M252" i="17"/>
  <c r="M254" i="17"/>
  <c r="M257" i="17"/>
  <c r="M258" i="17"/>
  <c r="M259" i="17"/>
  <c r="M266" i="17"/>
  <c r="M268" i="17"/>
  <c r="M271" i="17"/>
  <c r="M275" i="17"/>
  <c r="M278" i="17"/>
  <c r="M279" i="17"/>
  <c r="M280" i="17"/>
  <c r="M282" i="17"/>
  <c r="M285" i="17"/>
  <c r="M287" i="17"/>
  <c r="M289" i="17"/>
  <c r="M294" i="17"/>
  <c r="M296" i="17"/>
  <c r="M299" i="17"/>
  <c r="M300" i="17"/>
  <c r="M301" i="17"/>
  <c r="M303" i="17"/>
  <c r="M306" i="17"/>
  <c r="M310" i="17"/>
  <c r="M313" i="17"/>
  <c r="M314" i="17"/>
  <c r="M315" i="17"/>
  <c r="M320" i="17"/>
  <c r="M324" i="17"/>
  <c r="M327" i="17"/>
  <c r="M328" i="17"/>
  <c r="M329" i="17"/>
  <c r="M331" i="17"/>
  <c r="M332" i="17"/>
  <c r="M334" i="17"/>
  <c r="M336" i="17"/>
  <c r="M338" i="17"/>
  <c r="M341" i="17"/>
  <c r="M342" i="17"/>
  <c r="M348" i="17"/>
  <c r="M350" i="17"/>
  <c r="M352" i="17"/>
  <c r="M355" i="17"/>
  <c r="M356" i="17"/>
  <c r="M359" i="17"/>
  <c r="M360" i="17"/>
  <c r="M364" i="17"/>
  <c r="M366" i="17"/>
  <c r="M369" i="17"/>
  <c r="M371" i="17"/>
  <c r="M373" i="17"/>
  <c r="M374" i="17"/>
  <c r="M378" i="17"/>
  <c r="M380" i="17"/>
  <c r="M383" i="17"/>
  <c r="M384" i="17"/>
  <c r="M385" i="17"/>
  <c r="M390" i="17"/>
  <c r="M392" i="17"/>
  <c r="M394" i="17"/>
  <c r="M397" i="17"/>
  <c r="M399" i="17"/>
  <c r="M401" i="17"/>
  <c r="M402" i="17"/>
  <c r="M404" i="17"/>
  <c r="M408" i="17"/>
  <c r="M411" i="17"/>
  <c r="M412" i="17"/>
  <c r="M413" i="17"/>
  <c r="M418" i="17"/>
  <c r="M420" i="17"/>
  <c r="M421" i="17"/>
  <c r="M422" i="17"/>
  <c r="M425" i="17"/>
  <c r="M426" i="17"/>
  <c r="M427" i="17"/>
  <c r="M432" i="17"/>
  <c r="M436" i="17"/>
  <c r="M439" i="17"/>
  <c r="M440" i="17"/>
  <c r="M443" i="17"/>
  <c r="M446" i="17"/>
  <c r="M448" i="17"/>
  <c r="M450" i="17"/>
  <c r="M453" i="17"/>
  <c r="M454" i="17"/>
  <c r="M455" i="17"/>
  <c r="M457" i="17"/>
  <c r="M462" i="17"/>
  <c r="M464" i="17"/>
  <c r="M467" i="17"/>
  <c r="M471" i="17"/>
  <c r="M474" i="17"/>
  <c r="M475" i="17"/>
  <c r="M476" i="17"/>
  <c r="M478" i="17"/>
  <c r="M481" i="17"/>
  <c r="M483" i="17"/>
  <c r="M485" i="17"/>
  <c r="M490" i="17"/>
  <c r="M492" i="17"/>
  <c r="M495" i="17"/>
  <c r="M496" i="17"/>
  <c r="M497" i="17"/>
  <c r="M499" i="17"/>
  <c r="M502" i="17"/>
  <c r="M506" i="17"/>
  <c r="M509" i="17"/>
  <c r="M510" i="17"/>
  <c r="M516" i="17"/>
  <c r="M520" i="17"/>
  <c r="M523" i="17"/>
  <c r="M524" i="17"/>
  <c r="M525" i="17"/>
  <c r="M527" i="17"/>
  <c r="M528" i="17"/>
  <c r="M532" i="17"/>
  <c r="M534" i="17"/>
  <c r="M537" i="17"/>
  <c r="M538" i="17"/>
  <c r="M544" i="17"/>
  <c r="M546" i="17"/>
  <c r="M548" i="17"/>
  <c r="M551" i="17"/>
  <c r="M552" i="17"/>
  <c r="M555" i="17"/>
  <c r="M556" i="17"/>
  <c r="M560" i="17"/>
  <c r="M562" i="17"/>
  <c r="M565" i="17"/>
  <c r="M567" i="17"/>
  <c r="M569" i="17"/>
  <c r="M570" i="17"/>
  <c r="M574" i="17"/>
  <c r="M576" i="17"/>
  <c r="M579" i="17"/>
  <c r="M580" i="17"/>
  <c r="M581" i="17"/>
  <c r="M586" i="17"/>
  <c r="M588" i="17"/>
  <c r="M590" i="17"/>
  <c r="M593" i="17"/>
  <c r="M595" i="17"/>
  <c r="M597" i="17"/>
  <c r="M598" i="17"/>
  <c r="M600" i="17"/>
  <c r="M604" i="17"/>
  <c r="M607" i="17"/>
  <c r="M608" i="17"/>
  <c r="M609" i="17"/>
  <c r="M614" i="17"/>
  <c r="M616" i="17"/>
  <c r="M617" i="17"/>
  <c r="M618" i="17"/>
  <c r="M621" i="17"/>
  <c r="M622" i="17"/>
  <c r="M623" i="17"/>
  <c r="M628" i="17"/>
  <c r="M632" i="17"/>
  <c r="M635" i="17"/>
  <c r="M639" i="17"/>
  <c r="M642" i="17"/>
  <c r="M644" i="17"/>
  <c r="M646" i="17"/>
  <c r="M649" i="17"/>
  <c r="M650" i="17"/>
  <c r="M651" i="17"/>
  <c r="M653" i="17"/>
  <c r="M658" i="17"/>
  <c r="M660" i="17"/>
  <c r="M663" i="17"/>
  <c r="M667" i="17"/>
  <c r="M670" i="17"/>
  <c r="M671" i="17"/>
  <c r="M674" i="17"/>
  <c r="M677" i="17"/>
  <c r="M679" i="17"/>
  <c r="M681" i="17"/>
  <c r="M686" i="17"/>
  <c r="M688" i="17"/>
  <c r="M691" i="17"/>
  <c r="M692" i="17"/>
  <c r="M693" i="17"/>
  <c r="M695" i="17"/>
  <c r="M698" i="17"/>
  <c r="M702" i="17"/>
  <c r="M705" i="17"/>
  <c r="M706" i="17"/>
  <c r="M712" i="17"/>
  <c r="M716" i="17"/>
  <c r="M719" i="17"/>
  <c r="M720" i="17"/>
  <c r="M721" i="17"/>
  <c r="M723" i="17"/>
  <c r="M724" i="17"/>
  <c r="M728" i="17"/>
  <c r="M730" i="17"/>
  <c r="M733" i="17"/>
  <c r="M734" i="17"/>
  <c r="M740" i="17"/>
  <c r="M742" i="17"/>
  <c r="M744" i="17"/>
  <c r="M747" i="17"/>
  <c r="M748" i="17"/>
  <c r="M751" i="17"/>
  <c r="M752" i="17"/>
  <c r="M756" i="17"/>
  <c r="M758" i="17"/>
  <c r="M761" i="17"/>
  <c r="M763" i="17"/>
  <c r="M765" i="17"/>
  <c r="M766" i="17"/>
  <c r="M770" i="17"/>
  <c r="M772" i="17"/>
  <c r="M775" i="17"/>
  <c r="M776" i="17"/>
  <c r="M777" i="17"/>
  <c r="M782" i="17"/>
  <c r="M784" i="17"/>
  <c r="M786" i="17"/>
  <c r="M789" i="17"/>
  <c r="M791" i="17"/>
  <c r="M793" i="17"/>
  <c r="M794" i="17"/>
  <c r="M796" i="17"/>
  <c r="M800" i="17"/>
  <c r="M803" i="17"/>
  <c r="M804" i="17"/>
  <c r="M805" i="17"/>
  <c r="M810" i="17"/>
  <c r="M812" i="17"/>
  <c r="M813" i="17"/>
  <c r="M814" i="17"/>
  <c r="M817" i="17"/>
  <c r="M818" i="17"/>
  <c r="M819" i="17"/>
  <c r="M824" i="17"/>
  <c r="M828" i="17"/>
  <c r="M831" i="17"/>
  <c r="M835" i="17"/>
  <c r="M838" i="17"/>
  <c r="M840" i="17"/>
  <c r="M842" i="17"/>
  <c r="M845" i="17"/>
  <c r="M846" i="17"/>
  <c r="M847" i="17"/>
  <c r="M849" i="17"/>
  <c r="M854" i="17"/>
  <c r="M856" i="17"/>
  <c r="M859" i="17"/>
  <c r="M863" i="17"/>
  <c r="M866" i="17"/>
  <c r="M867" i="17"/>
  <c r="M870" i="17"/>
  <c r="M873" i="17"/>
  <c r="M875" i="17"/>
  <c r="M877" i="17"/>
  <c r="M882" i="17"/>
  <c r="M884" i="17"/>
  <c r="M887" i="17"/>
  <c r="M888" i="17"/>
  <c r="M889" i="17"/>
  <c r="M891" i="17"/>
  <c r="M894" i="17"/>
  <c r="M898" i="17"/>
  <c r="M901" i="17"/>
  <c r="M902" i="17"/>
  <c r="M908" i="17"/>
  <c r="M912" i="17"/>
  <c r="M915" i="17"/>
  <c r="M916" i="17"/>
  <c r="M917" i="17"/>
  <c r="M919" i="17"/>
  <c r="M920" i="17"/>
  <c r="M924" i="17"/>
  <c r="M926" i="17"/>
  <c r="M929" i="17"/>
  <c r="M930" i="17"/>
  <c r="M936" i="17"/>
  <c r="M938" i="17"/>
  <c r="M940" i="17"/>
  <c r="M943" i="17"/>
  <c r="M944" i="17"/>
  <c r="M947" i="17"/>
  <c r="M948" i="17"/>
  <c r="M952" i="17"/>
  <c r="M954" i="17"/>
  <c r="M957" i="17"/>
  <c r="M959" i="17"/>
  <c r="M961" i="17"/>
  <c r="M962" i="17"/>
  <c r="M966" i="17"/>
  <c r="M968" i="17"/>
  <c r="M971" i="17"/>
  <c r="M972" i="17"/>
  <c r="M973" i="17"/>
  <c r="M978" i="17"/>
  <c r="M980" i="17"/>
  <c r="M982" i="17"/>
  <c r="M985" i="17"/>
  <c r="M987" i="17"/>
  <c r="M989" i="17"/>
  <c r="M990" i="17"/>
  <c r="M992" i="17"/>
  <c r="M996" i="17"/>
  <c r="M999" i="17"/>
  <c r="M1000" i="17"/>
  <c r="M1001" i="17"/>
  <c r="J3" i="17"/>
  <c r="O3" i="17" s="1"/>
  <c r="K3" i="17"/>
  <c r="L3" i="17"/>
  <c r="M3" i="17" s="1"/>
  <c r="J4" i="17"/>
  <c r="O4" i="17" s="1"/>
  <c r="K4" i="17"/>
  <c r="L4" i="17"/>
  <c r="M4" i="17" s="1"/>
  <c r="J5" i="17"/>
  <c r="O5" i="17" s="1"/>
  <c r="K5" i="17"/>
  <c r="L5" i="17"/>
  <c r="J6" i="17"/>
  <c r="O6" i="17" s="1"/>
  <c r="K6" i="17"/>
  <c r="L6" i="17"/>
  <c r="J7" i="17"/>
  <c r="O7" i="17" s="1"/>
  <c r="K7" i="17"/>
  <c r="L7" i="17"/>
  <c r="M7" i="17" s="1"/>
  <c r="J8" i="17"/>
  <c r="O8" i="17" s="1"/>
  <c r="K8" i="17"/>
  <c r="L8" i="17"/>
  <c r="M8" i="17" s="1"/>
  <c r="J9" i="17"/>
  <c r="O9" i="17" s="1"/>
  <c r="K9" i="17"/>
  <c r="L9" i="17"/>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J17" i="17"/>
  <c r="O17" i="17" s="1"/>
  <c r="K17" i="17"/>
  <c r="L17" i="17"/>
  <c r="M17" i="17" s="1"/>
  <c r="J18" i="17"/>
  <c r="O18" i="17" s="1"/>
  <c r="K18" i="17"/>
  <c r="L18" i="17"/>
  <c r="M18" i="17" s="1"/>
  <c r="J19" i="17"/>
  <c r="O19" i="17" s="1"/>
  <c r="K19" i="17"/>
  <c r="L19" i="17"/>
  <c r="J20" i="17"/>
  <c r="O20" i="17" s="1"/>
  <c r="K20" i="17"/>
  <c r="L20" i="17"/>
  <c r="J21" i="17"/>
  <c r="O21" i="17" s="1"/>
  <c r="K21" i="17"/>
  <c r="L21" i="17"/>
  <c r="J22" i="17"/>
  <c r="O22" i="17" s="1"/>
  <c r="K22" i="17"/>
  <c r="L22" i="17"/>
  <c r="M22" i="17" s="1"/>
  <c r="J23" i="17"/>
  <c r="O23" i="17" s="1"/>
  <c r="K23" i="17"/>
  <c r="L23" i="17"/>
  <c r="J24" i="17"/>
  <c r="K24" i="17"/>
  <c r="L24" i="17"/>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J31" i="17"/>
  <c r="O31" i="17" s="1"/>
  <c r="K31" i="17"/>
  <c r="L31" i="17"/>
  <c r="M31" i="17" s="1"/>
  <c r="J32" i="17"/>
  <c r="O32" i="17" s="1"/>
  <c r="K32" i="17"/>
  <c r="L32" i="17"/>
  <c r="M32" i="17" s="1"/>
  <c r="J33" i="17"/>
  <c r="K33" i="17"/>
  <c r="L33" i="17"/>
  <c r="J34" i="17"/>
  <c r="O34" i="17" s="1"/>
  <c r="K34" i="17"/>
  <c r="L34" i="17"/>
  <c r="J35" i="17"/>
  <c r="K35" i="17"/>
  <c r="L35" i="17"/>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J43" i="17"/>
  <c r="O43" i="17" s="1"/>
  <c r="K43" i="17"/>
  <c r="L43" i="17"/>
  <c r="M43" i="17" s="1"/>
  <c r="J44" i="17"/>
  <c r="O44" i="17" s="1"/>
  <c r="K44" i="17"/>
  <c r="L44" i="17"/>
  <c r="J45" i="17"/>
  <c r="O45" i="17" s="1"/>
  <c r="K45" i="17"/>
  <c r="L45" i="17"/>
  <c r="M45" i="17" s="1"/>
  <c r="J46" i="17"/>
  <c r="O46" i="17" s="1"/>
  <c r="K46" i="17"/>
  <c r="L46" i="17"/>
  <c r="M46" i="17" s="1"/>
  <c r="J47" i="17"/>
  <c r="O47" i="17" s="1"/>
  <c r="K47" i="17"/>
  <c r="L47" i="17"/>
  <c r="J48" i="17"/>
  <c r="O48" i="17" s="1"/>
  <c r="K48" i="17"/>
  <c r="L48" i="17"/>
  <c r="J49" i="17"/>
  <c r="O49" i="17" s="1"/>
  <c r="K49" i="17"/>
  <c r="L49" i="17"/>
  <c r="J50" i="17"/>
  <c r="O50" i="17" s="1"/>
  <c r="K50" i="17"/>
  <c r="L50" i="17"/>
  <c r="M50" i="17" s="1"/>
  <c r="J51" i="17"/>
  <c r="O51" i="17" s="1"/>
  <c r="K51" i="17"/>
  <c r="L51" i="17"/>
  <c r="J52" i="17"/>
  <c r="O52" i="17" s="1"/>
  <c r="K52" i="17"/>
  <c r="L52" i="17"/>
  <c r="M52" i="17" s="1"/>
  <c r="J53" i="17"/>
  <c r="O53" i="17" s="1"/>
  <c r="K53" i="17"/>
  <c r="L53" i="17"/>
  <c r="M53" i="17" s="1"/>
  <c r="J54" i="17"/>
  <c r="K54" i="17"/>
  <c r="L54" i="17"/>
  <c r="M54" i="17" s="1"/>
  <c r="J55" i="17"/>
  <c r="O55" i="17" s="1"/>
  <c r="K55" i="17"/>
  <c r="L55" i="17"/>
  <c r="M55" i="17" s="1"/>
  <c r="J56" i="17"/>
  <c r="O56" i="17" s="1"/>
  <c r="K56" i="17"/>
  <c r="L56" i="17"/>
  <c r="J57" i="17"/>
  <c r="O57" i="17" s="1"/>
  <c r="K57" i="17"/>
  <c r="L57" i="17"/>
  <c r="M57" i="17" s="1"/>
  <c r="J58" i="17"/>
  <c r="O58" i="17" s="1"/>
  <c r="K58" i="17"/>
  <c r="L58" i="17"/>
  <c r="J59" i="17"/>
  <c r="O59" i="17" s="1"/>
  <c r="K59" i="17"/>
  <c r="L59" i="17"/>
  <c r="M59" i="17" s="1"/>
  <c r="J60" i="17"/>
  <c r="O60" i="17" s="1"/>
  <c r="K60" i="17"/>
  <c r="L60" i="17"/>
  <c r="M60" i="17" s="1"/>
  <c r="J61" i="17"/>
  <c r="O61" i="17" s="1"/>
  <c r="K61" i="17"/>
  <c r="L61" i="17"/>
  <c r="J62" i="17"/>
  <c r="O62" i="17" s="1"/>
  <c r="K62" i="17"/>
  <c r="L62" i="17"/>
  <c r="J63" i="17"/>
  <c r="O63" i="17" s="1"/>
  <c r="K63" i="17"/>
  <c r="L63" i="17"/>
  <c r="J64" i="17"/>
  <c r="O64" i="17" s="1"/>
  <c r="K64" i="17"/>
  <c r="L64" i="17"/>
  <c r="M64" i="17" s="1"/>
  <c r="J65" i="17"/>
  <c r="O65" i="17" s="1"/>
  <c r="K65" i="17"/>
  <c r="L65" i="17"/>
  <c r="M65" i="17" s="1"/>
  <c r="J66" i="17"/>
  <c r="O66" i="17" s="1"/>
  <c r="K66" i="17"/>
  <c r="L66" i="17"/>
  <c r="M66" i="17" s="1"/>
  <c r="J67" i="17"/>
  <c r="O67" i="17" s="1"/>
  <c r="K67" i="17"/>
  <c r="L67" i="17"/>
  <c r="M67" i="17" s="1"/>
  <c r="J68" i="17"/>
  <c r="K68" i="17"/>
  <c r="L68" i="17"/>
  <c r="M68" i="17" s="1"/>
  <c r="J69" i="17"/>
  <c r="O69" i="17" s="1"/>
  <c r="K69" i="17"/>
  <c r="L69" i="17"/>
  <c r="M69" i="17" s="1"/>
  <c r="J70" i="17"/>
  <c r="O70" i="17" s="1"/>
  <c r="K70" i="17"/>
  <c r="L70" i="17"/>
  <c r="J71" i="17"/>
  <c r="O71" i="17" s="1"/>
  <c r="K71" i="17"/>
  <c r="L71" i="17"/>
  <c r="M71" i="17" s="1"/>
  <c r="J72" i="17"/>
  <c r="O72" i="17" s="1"/>
  <c r="K72" i="17"/>
  <c r="L72" i="17"/>
  <c r="J73" i="17"/>
  <c r="O73" i="17" s="1"/>
  <c r="K73" i="17"/>
  <c r="L73" i="17"/>
  <c r="M73" i="17" s="1"/>
  <c r="J74" i="17"/>
  <c r="O74" i="17" s="1"/>
  <c r="K74" i="17"/>
  <c r="L74" i="17"/>
  <c r="M74" i="17" s="1"/>
  <c r="J75" i="17"/>
  <c r="O75" i="17" s="1"/>
  <c r="K75" i="17"/>
  <c r="L75" i="17"/>
  <c r="J76" i="17"/>
  <c r="O76" i="17" s="1"/>
  <c r="K76" i="17"/>
  <c r="L76" i="17"/>
  <c r="M76" i="17" s="1"/>
  <c r="J77" i="17"/>
  <c r="O77" i="17" s="1"/>
  <c r="K77" i="17"/>
  <c r="L77" i="17"/>
  <c r="M77" i="17" s="1"/>
  <c r="J78" i="17"/>
  <c r="K78" i="17"/>
  <c r="L78" i="17"/>
  <c r="M78" i="17" s="1"/>
  <c r="J79" i="17"/>
  <c r="O79" i="17" s="1"/>
  <c r="K79" i="17"/>
  <c r="L79" i="17"/>
  <c r="J80" i="17"/>
  <c r="K80" i="17"/>
  <c r="L80" i="17"/>
  <c r="M80" i="17" s="1"/>
  <c r="J81" i="17"/>
  <c r="O81" i="17" s="1"/>
  <c r="K81" i="17"/>
  <c r="L81" i="17"/>
  <c r="M81" i="17" s="1"/>
  <c r="J82" i="17"/>
  <c r="O82" i="17" s="1"/>
  <c r="K82" i="17"/>
  <c r="L82" i="17"/>
  <c r="M82" i="17" s="1"/>
  <c r="J83" i="17"/>
  <c r="O83" i="17" s="1"/>
  <c r="K83" i="17"/>
  <c r="L83" i="17"/>
  <c r="M83" i="17" s="1"/>
  <c r="J84" i="17"/>
  <c r="O84" i="17" s="1"/>
  <c r="K84" i="17"/>
  <c r="L84" i="17"/>
  <c r="J85" i="17"/>
  <c r="O85" i="17" s="1"/>
  <c r="K85" i="17"/>
  <c r="L85" i="17"/>
  <c r="M85" i="17" s="1"/>
  <c r="J86" i="17"/>
  <c r="O86" i="17" s="1"/>
  <c r="K86" i="17"/>
  <c r="L86" i="17"/>
  <c r="J87" i="17"/>
  <c r="O87" i="17" s="1"/>
  <c r="K87" i="17"/>
  <c r="L87" i="17"/>
  <c r="M87" i="17" s="1"/>
  <c r="J88" i="17"/>
  <c r="O88" i="17" s="1"/>
  <c r="K88" i="17"/>
  <c r="L88" i="17"/>
  <c r="M88" i="17" s="1"/>
  <c r="J89" i="17"/>
  <c r="O89" i="17" s="1"/>
  <c r="K89" i="17"/>
  <c r="L89" i="17"/>
  <c r="J90" i="17"/>
  <c r="K90" i="17"/>
  <c r="L90" i="17"/>
  <c r="J91" i="17"/>
  <c r="O91" i="17" s="1"/>
  <c r="K91" i="17"/>
  <c r="L91" i="17"/>
  <c r="M91" i="17" s="1"/>
  <c r="J92" i="17"/>
  <c r="O92" i="17" s="1"/>
  <c r="K92" i="17"/>
  <c r="L92" i="17"/>
  <c r="M92" i="17" s="1"/>
  <c r="J93" i="17"/>
  <c r="O93" i="17" s="1"/>
  <c r="K93" i="17"/>
  <c r="L93" i="17"/>
  <c r="J94" i="17"/>
  <c r="O94" i="17" s="1"/>
  <c r="K94" i="17"/>
  <c r="L94" i="17"/>
  <c r="J95" i="17"/>
  <c r="O95" i="17" s="1"/>
  <c r="K95" i="17"/>
  <c r="L95" i="17"/>
  <c r="M95" i="17" s="1"/>
  <c r="J96" i="17"/>
  <c r="O96" i="17" s="1"/>
  <c r="K96" i="17"/>
  <c r="L96" i="17"/>
  <c r="M96" i="17" s="1"/>
  <c r="J97" i="17"/>
  <c r="O97" i="17" s="1"/>
  <c r="K97" i="17"/>
  <c r="L97" i="17"/>
  <c r="M97" i="17" s="1"/>
  <c r="J98" i="17"/>
  <c r="O98" i="17" s="1"/>
  <c r="K98" i="17"/>
  <c r="L98" i="17"/>
  <c r="M98" i="17" s="1"/>
  <c r="J99" i="17"/>
  <c r="K99" i="17"/>
  <c r="L99" i="17"/>
  <c r="M99" i="17" s="1"/>
  <c r="J100" i="17"/>
  <c r="O100" i="17" s="1"/>
  <c r="K100" i="17"/>
  <c r="L100" i="17"/>
  <c r="J101" i="17"/>
  <c r="O101" i="17" s="1"/>
  <c r="K101" i="17"/>
  <c r="L101" i="17"/>
  <c r="M101" i="17" s="1"/>
  <c r="J102" i="17"/>
  <c r="O102" i="17" s="1"/>
  <c r="K102" i="17"/>
  <c r="L102" i="17"/>
  <c r="M102" i="17" s="1"/>
  <c r="J103" i="17"/>
  <c r="O103" i="17" s="1"/>
  <c r="K103" i="17"/>
  <c r="L103" i="17"/>
  <c r="J104" i="17"/>
  <c r="O104" i="17" s="1"/>
  <c r="K104" i="17"/>
  <c r="L104" i="17"/>
  <c r="J105" i="17"/>
  <c r="O105" i="17" s="1"/>
  <c r="K105" i="17"/>
  <c r="L105" i="17"/>
  <c r="M105" i="17" s="1"/>
  <c r="J106" i="17"/>
  <c r="O106" i="17" s="1"/>
  <c r="K106" i="17"/>
  <c r="L106" i="17"/>
  <c r="M106" i="17" s="1"/>
  <c r="J107" i="17"/>
  <c r="O107" i="17" s="1"/>
  <c r="K107" i="17"/>
  <c r="L107" i="17"/>
  <c r="J108" i="17"/>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J115" i="17"/>
  <c r="K115" i="17"/>
  <c r="L115" i="17"/>
  <c r="M115" i="17" s="1"/>
  <c r="J116" i="17"/>
  <c r="O116" i="17" s="1"/>
  <c r="K116" i="17"/>
  <c r="L116" i="17"/>
  <c r="M116" i="17" s="1"/>
  <c r="J117" i="17"/>
  <c r="O117" i="17" s="1"/>
  <c r="K117" i="17"/>
  <c r="L117" i="17"/>
  <c r="J118" i="17"/>
  <c r="O118" i="17" s="1"/>
  <c r="K118" i="17"/>
  <c r="L118" i="17"/>
  <c r="J119" i="17"/>
  <c r="O119" i="17" s="1"/>
  <c r="K119" i="17"/>
  <c r="L119" i="17"/>
  <c r="J120" i="17"/>
  <c r="O120" i="17" s="1"/>
  <c r="K120" i="17"/>
  <c r="L120" i="17"/>
  <c r="M120" i="17" s="1"/>
  <c r="J121" i="17"/>
  <c r="O121" i="17" s="1"/>
  <c r="K121" i="17"/>
  <c r="L121" i="17"/>
  <c r="J122" i="17"/>
  <c r="O122" i="17" s="1"/>
  <c r="K122" i="17"/>
  <c r="L122" i="17"/>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J129" i="17"/>
  <c r="O129" i="17" s="1"/>
  <c r="K129" i="17"/>
  <c r="L129" i="17"/>
  <c r="M129" i="17" s="1"/>
  <c r="J130" i="17"/>
  <c r="O130" i="17" s="1"/>
  <c r="K130" i="17"/>
  <c r="L130" i="17"/>
  <c r="M130" i="17" s="1"/>
  <c r="J131" i="17"/>
  <c r="O131" i="17" s="1"/>
  <c r="K131" i="17"/>
  <c r="L131" i="17"/>
  <c r="J132" i="17"/>
  <c r="O132" i="17" s="1"/>
  <c r="K132" i="17"/>
  <c r="L132" i="17"/>
  <c r="J133" i="17"/>
  <c r="K133" i="17"/>
  <c r="L133" i="17"/>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K138" i="17"/>
  <c r="L138" i="17"/>
  <c r="M138" i="17" s="1"/>
  <c r="J139" i="17"/>
  <c r="O139" i="17" s="1"/>
  <c r="K139" i="17"/>
  <c r="L139" i="17"/>
  <c r="M139" i="17" s="1"/>
  <c r="J140" i="17"/>
  <c r="O140" i="17" s="1"/>
  <c r="K140" i="17"/>
  <c r="L140" i="17"/>
  <c r="J141" i="17"/>
  <c r="O141" i="17" s="1"/>
  <c r="K141" i="17"/>
  <c r="L141" i="17"/>
  <c r="M141" i="17" s="1"/>
  <c r="J142" i="17"/>
  <c r="O142" i="17" s="1"/>
  <c r="K142" i="17"/>
  <c r="L142" i="17"/>
  <c r="J143" i="17"/>
  <c r="O143" i="17" s="1"/>
  <c r="K143" i="17"/>
  <c r="L143" i="17"/>
  <c r="M143" i="17" s="1"/>
  <c r="J144" i="17"/>
  <c r="O144" i="17" s="1"/>
  <c r="K144" i="17"/>
  <c r="L144" i="17"/>
  <c r="M144" i="17" s="1"/>
  <c r="J145" i="17"/>
  <c r="O145" i="17" s="1"/>
  <c r="K145" i="17"/>
  <c r="L145" i="17"/>
  <c r="J146" i="17"/>
  <c r="O146" i="17" s="1"/>
  <c r="K146" i="17"/>
  <c r="L146" i="17"/>
  <c r="J147" i="17"/>
  <c r="O147" i="17" s="1"/>
  <c r="K147" i="17"/>
  <c r="L147" i="17"/>
  <c r="J148" i="17"/>
  <c r="O148" i="17" s="1"/>
  <c r="K148" i="17"/>
  <c r="L148" i="17"/>
  <c r="M148" i="17" s="1"/>
  <c r="J149" i="17"/>
  <c r="O149" i="17" s="1"/>
  <c r="K149" i="17"/>
  <c r="L149" i="17"/>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J155" i="17"/>
  <c r="K155" i="17"/>
  <c r="L155" i="17"/>
  <c r="M155" i="17" s="1"/>
  <c r="J156" i="17"/>
  <c r="O156" i="17" s="1"/>
  <c r="K156" i="17"/>
  <c r="L156" i="17"/>
  <c r="J157" i="17"/>
  <c r="K157" i="17"/>
  <c r="L157" i="17"/>
  <c r="M157" i="17" s="1"/>
  <c r="J158" i="17"/>
  <c r="K158" i="17"/>
  <c r="L158" i="17"/>
  <c r="M158" i="17" s="1"/>
  <c r="J159" i="17"/>
  <c r="O159" i="17" s="1"/>
  <c r="K159" i="17"/>
  <c r="L159" i="17"/>
  <c r="J160" i="17"/>
  <c r="K160" i="17"/>
  <c r="L160" i="17"/>
  <c r="J161" i="17"/>
  <c r="O161" i="17" s="1"/>
  <c r="K161" i="17"/>
  <c r="L161" i="17"/>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K167" i="17"/>
  <c r="L167" i="17"/>
  <c r="M167" i="17" s="1"/>
  <c r="J168" i="17"/>
  <c r="O168" i="17" s="1"/>
  <c r="K168" i="17"/>
  <c r="L168" i="17"/>
  <c r="J169" i="17"/>
  <c r="O169" i="17" s="1"/>
  <c r="K169" i="17"/>
  <c r="L169" i="17"/>
  <c r="M169" i="17" s="1"/>
  <c r="J170" i="17"/>
  <c r="O170" i="17" s="1"/>
  <c r="K170" i="17"/>
  <c r="L170" i="17"/>
  <c r="J171" i="17"/>
  <c r="O171" i="17" s="1"/>
  <c r="K171" i="17"/>
  <c r="L171" i="17"/>
  <c r="M171" i="17" s="1"/>
  <c r="J172" i="17"/>
  <c r="O172" i="17" s="1"/>
  <c r="K172" i="17"/>
  <c r="L172" i="17"/>
  <c r="M172" i="17" s="1"/>
  <c r="J173" i="17"/>
  <c r="O173" i="17" s="1"/>
  <c r="K173" i="17"/>
  <c r="L173" i="17"/>
  <c r="J174" i="17"/>
  <c r="O174" i="17" s="1"/>
  <c r="K174" i="17"/>
  <c r="L174" i="17"/>
  <c r="M174" i="17" s="1"/>
  <c r="J175" i="17"/>
  <c r="O175" i="17" s="1"/>
  <c r="K175" i="17"/>
  <c r="L175" i="17"/>
  <c r="M175" i="17" s="1"/>
  <c r="J176" i="17"/>
  <c r="O176" i="17" s="1"/>
  <c r="K176" i="17"/>
  <c r="L176" i="17"/>
  <c r="M176" i="17" s="1"/>
  <c r="J177" i="17"/>
  <c r="O177" i="17" s="1"/>
  <c r="K177" i="17"/>
  <c r="L177" i="17"/>
  <c r="J178" i="17"/>
  <c r="K178" i="17"/>
  <c r="L178" i="17"/>
  <c r="M178" i="17" s="1"/>
  <c r="J179" i="17"/>
  <c r="O179" i="17" s="1"/>
  <c r="K179" i="17"/>
  <c r="L179" i="17"/>
  <c r="M179" i="17" s="1"/>
  <c r="J180" i="17"/>
  <c r="K180" i="17"/>
  <c r="L180" i="17"/>
  <c r="M180" i="17" s="1"/>
  <c r="J181" i="17"/>
  <c r="O181" i="17" s="1"/>
  <c r="K181" i="17"/>
  <c r="L181" i="17"/>
  <c r="M181" i="17" s="1"/>
  <c r="J182" i="17"/>
  <c r="O182" i="17" s="1"/>
  <c r="K182" i="17"/>
  <c r="L182" i="17"/>
  <c r="J183" i="17"/>
  <c r="O183" i="17" s="1"/>
  <c r="K183" i="17"/>
  <c r="L183" i="17"/>
  <c r="M183" i="17" s="1"/>
  <c r="J184" i="17"/>
  <c r="O184" i="17" s="1"/>
  <c r="K184" i="17"/>
  <c r="L184" i="17"/>
  <c r="J185" i="17"/>
  <c r="O185" i="17" s="1"/>
  <c r="K185" i="17"/>
  <c r="L185" i="17"/>
  <c r="M185" i="17" s="1"/>
  <c r="J186" i="17"/>
  <c r="O186" i="17" s="1"/>
  <c r="K186" i="17"/>
  <c r="L186" i="17"/>
  <c r="M186" i="17" s="1"/>
  <c r="J187" i="17"/>
  <c r="O187" i="17" s="1"/>
  <c r="K187" i="17"/>
  <c r="L187" i="17"/>
  <c r="J188" i="17"/>
  <c r="O188" i="17" s="1"/>
  <c r="K188" i="17"/>
  <c r="L188" i="17"/>
  <c r="J189" i="17"/>
  <c r="O189" i="17" s="1"/>
  <c r="K189" i="17"/>
  <c r="L189" i="17"/>
  <c r="M189" i="17" s="1"/>
  <c r="J190" i="17"/>
  <c r="O190" i="17" s="1"/>
  <c r="K190" i="17"/>
  <c r="L190" i="17"/>
  <c r="M190" i="17" s="1"/>
  <c r="J191" i="17"/>
  <c r="O191" i="17" s="1"/>
  <c r="K191" i="17"/>
  <c r="L191" i="17"/>
  <c r="J192" i="17"/>
  <c r="O192" i="17" s="1"/>
  <c r="K192" i="17"/>
  <c r="L192" i="17"/>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K197" i="17"/>
  <c r="L197" i="17"/>
  <c r="M197" i="17" s="1"/>
  <c r="J198" i="17"/>
  <c r="O198" i="17" s="1"/>
  <c r="K198" i="17"/>
  <c r="L198" i="17"/>
  <c r="J199" i="17"/>
  <c r="O199" i="17" s="1"/>
  <c r="K199" i="17"/>
  <c r="L199" i="17"/>
  <c r="M199" i="17" s="1"/>
  <c r="J200" i="17"/>
  <c r="O200" i="17" s="1"/>
  <c r="K200" i="17"/>
  <c r="L200" i="17"/>
  <c r="M200" i="17" s="1"/>
  <c r="J201" i="17"/>
  <c r="O201" i="17" s="1"/>
  <c r="K201" i="17"/>
  <c r="L201" i="17"/>
  <c r="J202" i="17"/>
  <c r="O202" i="17" s="1"/>
  <c r="K202" i="17"/>
  <c r="L202" i="17"/>
  <c r="J203" i="17"/>
  <c r="O203" i="17" s="1"/>
  <c r="K203" i="17"/>
  <c r="L203" i="17"/>
  <c r="M203" i="17" s="1"/>
  <c r="J204" i="17"/>
  <c r="O204" i="17" s="1"/>
  <c r="K204" i="17"/>
  <c r="L204" i="17"/>
  <c r="M204" i="17" s="1"/>
  <c r="J205" i="17"/>
  <c r="O205" i="17" s="1"/>
  <c r="K205" i="17"/>
  <c r="L205" i="17"/>
  <c r="J206" i="17"/>
  <c r="K206" i="17"/>
  <c r="L206" i="17"/>
  <c r="M206" i="17" s="1"/>
  <c r="J207" i="17"/>
  <c r="O207" i="17" s="1"/>
  <c r="K207" i="17"/>
  <c r="L207" i="17"/>
  <c r="M207" i="17" s="1"/>
  <c r="J208" i="17"/>
  <c r="K208" i="17"/>
  <c r="L208" i="17"/>
  <c r="M208" i="17" s="1"/>
  <c r="J209" i="17"/>
  <c r="O209" i="17" s="1"/>
  <c r="K209" i="17"/>
  <c r="L209" i="17"/>
  <c r="M209" i="17" s="1"/>
  <c r="J210" i="17"/>
  <c r="O210" i="17" s="1"/>
  <c r="K210" i="17"/>
  <c r="L210" i="17"/>
  <c r="M210" i="17" s="1"/>
  <c r="J211" i="17"/>
  <c r="K211" i="17"/>
  <c r="L211" i="17"/>
  <c r="M211" i="17" s="1"/>
  <c r="J212" i="17"/>
  <c r="O212" i="17" s="1"/>
  <c r="K212" i="17"/>
  <c r="L212" i="17"/>
  <c r="J213" i="17"/>
  <c r="O213" i="17" s="1"/>
  <c r="K213" i="17"/>
  <c r="L213" i="17"/>
  <c r="M213" i="17" s="1"/>
  <c r="J214" i="17"/>
  <c r="O214" i="17" s="1"/>
  <c r="K214" i="17"/>
  <c r="L214" i="17"/>
  <c r="M214" i="17" s="1"/>
  <c r="J215" i="17"/>
  <c r="O215" i="17" s="1"/>
  <c r="K215" i="17"/>
  <c r="L215" i="17"/>
  <c r="J216" i="17"/>
  <c r="O216" i="17" s="1"/>
  <c r="K216" i="17"/>
  <c r="L216" i="17"/>
  <c r="J217" i="17"/>
  <c r="O217" i="17" s="1"/>
  <c r="K217" i="17"/>
  <c r="L217" i="17"/>
  <c r="J218" i="17"/>
  <c r="K218" i="17"/>
  <c r="L218" i="17"/>
  <c r="M218" i="17" s="1"/>
  <c r="J219" i="17"/>
  <c r="O219" i="17" s="1"/>
  <c r="K219" i="17"/>
  <c r="L219" i="17"/>
  <c r="J220" i="17"/>
  <c r="O220" i="17" s="1"/>
  <c r="K220" i="17"/>
  <c r="L220" i="17"/>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J227" i="17"/>
  <c r="O227" i="17" s="1"/>
  <c r="K227" i="17"/>
  <c r="L227" i="17"/>
  <c r="M227" i="17" s="1"/>
  <c r="J228" i="17"/>
  <c r="O228" i="17" s="1"/>
  <c r="K228" i="17"/>
  <c r="L228" i="17"/>
  <c r="M228" i="17" s="1"/>
  <c r="J229" i="17"/>
  <c r="O229" i="17" s="1"/>
  <c r="K229" i="17"/>
  <c r="L229" i="17"/>
  <c r="J230" i="17"/>
  <c r="O230" i="17" s="1"/>
  <c r="K230" i="17"/>
  <c r="L230" i="17"/>
  <c r="J231" i="17"/>
  <c r="O231" i="17" s="1"/>
  <c r="K231" i="17"/>
  <c r="L231" i="17"/>
  <c r="J232" i="17"/>
  <c r="K232" i="17"/>
  <c r="L232" i="17"/>
  <c r="M232" i="17" s="1"/>
  <c r="J233" i="17"/>
  <c r="O233" i="17" s="1"/>
  <c r="K233" i="17"/>
  <c r="L233" i="17"/>
  <c r="M233" i="17" s="1"/>
  <c r="J234" i="17"/>
  <c r="O234" i="17" s="1"/>
  <c r="K234" i="17"/>
  <c r="L234" i="17"/>
  <c r="M234" i="17" s="1"/>
  <c r="J235" i="17"/>
  <c r="K235" i="17"/>
  <c r="L235" i="17"/>
  <c r="M235" i="17" s="1"/>
  <c r="J236" i="17"/>
  <c r="O236" i="17" s="1"/>
  <c r="K236" i="17"/>
  <c r="L236" i="17"/>
  <c r="M236" i="17" s="1"/>
  <c r="J237" i="17"/>
  <c r="O237" i="17" s="1"/>
  <c r="K237" i="17"/>
  <c r="L237" i="17"/>
  <c r="M237" i="17" s="1"/>
  <c r="J238" i="17"/>
  <c r="O238" i="17" s="1"/>
  <c r="K238" i="17"/>
  <c r="L238" i="17"/>
  <c r="J239" i="17"/>
  <c r="K239" i="17"/>
  <c r="L239" i="17"/>
  <c r="M239" i="17" s="1"/>
  <c r="J240" i="17"/>
  <c r="O240" i="17" s="1"/>
  <c r="K240" i="17"/>
  <c r="L240" i="17"/>
  <c r="J241" i="17"/>
  <c r="O241" i="17" s="1"/>
  <c r="K241" i="17"/>
  <c r="L241" i="17"/>
  <c r="M241" i="17" s="1"/>
  <c r="J242" i="17"/>
  <c r="O242" i="17" s="1"/>
  <c r="K242" i="17"/>
  <c r="L242" i="17"/>
  <c r="M242" i="17" s="1"/>
  <c r="J243" i="17"/>
  <c r="O243" i="17" s="1"/>
  <c r="K243" i="17"/>
  <c r="L243" i="17"/>
  <c r="J244" i="17"/>
  <c r="O244" i="17" s="1"/>
  <c r="K244" i="17"/>
  <c r="L244" i="17"/>
  <c r="J245" i="17"/>
  <c r="O245" i="17" s="1"/>
  <c r="K245" i="17"/>
  <c r="L245" i="17"/>
  <c r="J246" i="17"/>
  <c r="O246" i="17" s="1"/>
  <c r="K246" i="17"/>
  <c r="L246" i="17"/>
  <c r="M246" i="17" s="1"/>
  <c r="J247" i="17"/>
  <c r="O247" i="17" s="1"/>
  <c r="K247" i="17"/>
  <c r="L247" i="17"/>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J253" i="17"/>
  <c r="O253" i="17" s="1"/>
  <c r="K253" i="17"/>
  <c r="L253" i="17"/>
  <c r="M253" i="17" s="1"/>
  <c r="J254" i="17"/>
  <c r="O254" i="17" s="1"/>
  <c r="K254" i="17"/>
  <c r="L254" i="17"/>
  <c r="J255" i="17"/>
  <c r="O255" i="17" s="1"/>
  <c r="K255" i="17"/>
  <c r="L255" i="17"/>
  <c r="M255" i="17" s="1"/>
  <c r="J256" i="17"/>
  <c r="O256" i="17" s="1"/>
  <c r="K256" i="17"/>
  <c r="L256" i="17"/>
  <c r="M256" i="17" s="1"/>
  <c r="J257" i="17"/>
  <c r="K257" i="17"/>
  <c r="L257" i="17"/>
  <c r="J258" i="17"/>
  <c r="O258" i="17" s="1"/>
  <c r="K258" i="17"/>
  <c r="L258" i="17"/>
  <c r="J259" i="17"/>
  <c r="O259" i="17" s="1"/>
  <c r="K259" i="17"/>
  <c r="L259" i="17"/>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J267" i="17"/>
  <c r="O267" i="17" s="1"/>
  <c r="K267" i="17"/>
  <c r="L267" i="17"/>
  <c r="M267" i="17" s="1"/>
  <c r="J268" i="17"/>
  <c r="O268" i="17" s="1"/>
  <c r="K268" i="17"/>
  <c r="L268" i="17"/>
  <c r="J269" i="17"/>
  <c r="O269" i="17" s="1"/>
  <c r="K269" i="17"/>
  <c r="L269" i="17"/>
  <c r="M269" i="17" s="1"/>
  <c r="J270" i="17"/>
  <c r="O270" i="17" s="1"/>
  <c r="K270" i="17"/>
  <c r="L270" i="17"/>
  <c r="M270" i="17" s="1"/>
  <c r="J271" i="17"/>
  <c r="O271" i="17" s="1"/>
  <c r="K271" i="17"/>
  <c r="L271" i="17"/>
  <c r="J272" i="17"/>
  <c r="O272" i="17" s="1"/>
  <c r="K272" i="17"/>
  <c r="L272" i="17"/>
  <c r="M272" i="17" s="1"/>
  <c r="J273" i="17"/>
  <c r="O273" i="17" s="1"/>
  <c r="K273" i="17"/>
  <c r="L273" i="17"/>
  <c r="M273" i="17" s="1"/>
  <c r="J274" i="17"/>
  <c r="K274" i="17"/>
  <c r="L274" i="17"/>
  <c r="M274" i="17" s="1"/>
  <c r="J275" i="17"/>
  <c r="O275" i="17" s="1"/>
  <c r="K275" i="17"/>
  <c r="L275" i="17"/>
  <c r="J276" i="17"/>
  <c r="O276" i="17" s="1"/>
  <c r="K276" i="17"/>
  <c r="L276" i="17"/>
  <c r="M276" i="17" s="1"/>
  <c r="J277" i="17"/>
  <c r="O277" i="17" s="1"/>
  <c r="K277" i="17"/>
  <c r="L277" i="17"/>
  <c r="M277" i="17" s="1"/>
  <c r="J278" i="17"/>
  <c r="K278" i="17"/>
  <c r="L278" i="17"/>
  <c r="J279" i="17"/>
  <c r="O279" i="17" s="1"/>
  <c r="K279" i="17"/>
  <c r="L279" i="17"/>
  <c r="J280" i="17"/>
  <c r="O280" i="17" s="1"/>
  <c r="K280" i="17"/>
  <c r="L280" i="17"/>
  <c r="J281" i="17"/>
  <c r="O281" i="17" s="1"/>
  <c r="K281" i="17"/>
  <c r="L281" i="17"/>
  <c r="M281" i="17" s="1"/>
  <c r="J282" i="17"/>
  <c r="O282" i="17" s="1"/>
  <c r="K282" i="17"/>
  <c r="L282" i="17"/>
  <c r="J283" i="17"/>
  <c r="O283" i="17" s="1"/>
  <c r="K283" i="17"/>
  <c r="L283" i="17"/>
  <c r="M283" i="17" s="1"/>
  <c r="J284" i="17"/>
  <c r="O284" i="17" s="1"/>
  <c r="K284" i="17"/>
  <c r="L284" i="17"/>
  <c r="M284" i="17" s="1"/>
  <c r="J285" i="17"/>
  <c r="O285" i="17" s="1"/>
  <c r="K285" i="17"/>
  <c r="L285" i="17"/>
  <c r="J286" i="17"/>
  <c r="O286" i="17" s="1"/>
  <c r="K286" i="17"/>
  <c r="L286" i="17"/>
  <c r="M286" i="17" s="1"/>
  <c r="J287" i="17"/>
  <c r="O287" i="17" s="1"/>
  <c r="K287" i="17"/>
  <c r="L287" i="17"/>
  <c r="J288" i="17"/>
  <c r="O288" i="17" s="1"/>
  <c r="K288" i="17"/>
  <c r="L288" i="17"/>
  <c r="M288" i="17" s="1"/>
  <c r="J289" i="17"/>
  <c r="O289" i="17" s="1"/>
  <c r="K289" i="17"/>
  <c r="L289" i="17"/>
  <c r="J290" i="17"/>
  <c r="O290" i="17" s="1"/>
  <c r="K290" i="17"/>
  <c r="L290" i="17"/>
  <c r="M290" i="17" s="1"/>
  <c r="J291" i="17"/>
  <c r="O291" i="17" s="1"/>
  <c r="K291" i="17"/>
  <c r="L291" i="17"/>
  <c r="M291" i="17" s="1"/>
  <c r="J292" i="17"/>
  <c r="K292" i="17"/>
  <c r="L292" i="17"/>
  <c r="M292" i="17" s="1"/>
  <c r="J293" i="17"/>
  <c r="K293" i="17"/>
  <c r="L293" i="17"/>
  <c r="M293" i="17" s="1"/>
  <c r="J294" i="17"/>
  <c r="O294" i="17" s="1"/>
  <c r="K294" i="17"/>
  <c r="L294" i="17"/>
  <c r="J295" i="17"/>
  <c r="K295" i="17"/>
  <c r="L295" i="17"/>
  <c r="M295" i="17" s="1"/>
  <c r="J296" i="17"/>
  <c r="O296" i="17" s="1"/>
  <c r="K296" i="17"/>
  <c r="L296" i="17"/>
  <c r="J297" i="17"/>
  <c r="O297" i="17" s="1"/>
  <c r="K297" i="17"/>
  <c r="L297" i="17"/>
  <c r="M297" i="17" s="1"/>
  <c r="J298" i="17"/>
  <c r="O298" i="17" s="1"/>
  <c r="K298" i="17"/>
  <c r="L298" i="17"/>
  <c r="M298" i="17" s="1"/>
  <c r="J299" i="17"/>
  <c r="O299" i="17" s="1"/>
  <c r="K299" i="17"/>
  <c r="L299" i="17"/>
  <c r="J300" i="17"/>
  <c r="O300" i="17" s="1"/>
  <c r="K300" i="17"/>
  <c r="L300" i="17"/>
  <c r="J301" i="17"/>
  <c r="O301" i="17" s="1"/>
  <c r="K301" i="17"/>
  <c r="L301" i="17"/>
  <c r="J302" i="17"/>
  <c r="O302" i="17" s="1"/>
  <c r="K302" i="17"/>
  <c r="L302" i="17"/>
  <c r="M302" i="17" s="1"/>
  <c r="J303" i="17"/>
  <c r="O303" i="17" s="1"/>
  <c r="K303" i="17"/>
  <c r="L303" i="17"/>
  <c r="J304" i="17"/>
  <c r="O304" i="17" s="1"/>
  <c r="K304" i="17"/>
  <c r="L304" i="17"/>
  <c r="M304" i="17" s="1"/>
  <c r="J305" i="17"/>
  <c r="O305" i="17" s="1"/>
  <c r="K305" i="17"/>
  <c r="L305" i="17"/>
  <c r="M305" i="17" s="1"/>
  <c r="J306" i="17"/>
  <c r="O306" i="17" s="1"/>
  <c r="K306" i="17"/>
  <c r="L306" i="17"/>
  <c r="J307" i="17"/>
  <c r="K307" i="17"/>
  <c r="L307" i="17"/>
  <c r="M307" i="17" s="1"/>
  <c r="J308" i="17"/>
  <c r="O308" i="17" s="1"/>
  <c r="K308" i="17"/>
  <c r="L308" i="17"/>
  <c r="M308" i="17" s="1"/>
  <c r="J309" i="17"/>
  <c r="O309" i="17" s="1"/>
  <c r="K309" i="17"/>
  <c r="L309" i="17"/>
  <c r="M309" i="17" s="1"/>
  <c r="J310" i="17"/>
  <c r="O310" i="17" s="1"/>
  <c r="K310" i="17"/>
  <c r="L310" i="17"/>
  <c r="J311" i="17"/>
  <c r="O311" i="17" s="1"/>
  <c r="K311" i="17"/>
  <c r="L311" i="17"/>
  <c r="M311" i="17" s="1"/>
  <c r="J312" i="17"/>
  <c r="O312" i="17" s="1"/>
  <c r="K312" i="17"/>
  <c r="L312" i="17"/>
  <c r="M312" i="17" s="1"/>
  <c r="J313" i="17"/>
  <c r="O313" i="17" s="1"/>
  <c r="K313" i="17"/>
  <c r="L313" i="17"/>
  <c r="J314" i="17"/>
  <c r="O314" i="17" s="1"/>
  <c r="K314" i="17"/>
  <c r="L314" i="17"/>
  <c r="J315" i="17"/>
  <c r="O315" i="17" s="1"/>
  <c r="K315" i="17"/>
  <c r="L315" i="17"/>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J321" i="17"/>
  <c r="K321" i="17"/>
  <c r="L321" i="17"/>
  <c r="M321" i="17" s="1"/>
  <c r="J322" i="17"/>
  <c r="O322" i="17" s="1"/>
  <c r="K322" i="17"/>
  <c r="L322" i="17"/>
  <c r="M322" i="17" s="1"/>
  <c r="J323" i="17"/>
  <c r="K323" i="17"/>
  <c r="L323" i="17"/>
  <c r="M323" i="17" s="1"/>
  <c r="J324" i="17"/>
  <c r="O324" i="17" s="1"/>
  <c r="K324" i="17"/>
  <c r="L324" i="17"/>
  <c r="J325" i="17"/>
  <c r="O325" i="17" s="1"/>
  <c r="K325" i="17"/>
  <c r="L325" i="17"/>
  <c r="M325" i="17" s="1"/>
  <c r="J326" i="17"/>
  <c r="O326" i="17" s="1"/>
  <c r="K326" i="17"/>
  <c r="L326" i="17"/>
  <c r="M326" i="17" s="1"/>
  <c r="J327" i="17"/>
  <c r="O327" i="17" s="1"/>
  <c r="K327" i="17"/>
  <c r="L327" i="17"/>
  <c r="J328" i="17"/>
  <c r="O328" i="17" s="1"/>
  <c r="K328" i="17"/>
  <c r="L328" i="17"/>
  <c r="J329" i="17"/>
  <c r="O329" i="17" s="1"/>
  <c r="K329" i="17"/>
  <c r="L329" i="17"/>
  <c r="J330" i="17"/>
  <c r="O330" i="17" s="1"/>
  <c r="K330" i="17"/>
  <c r="L330" i="17"/>
  <c r="M330" i="17" s="1"/>
  <c r="J331" i="17"/>
  <c r="O331" i="17" s="1"/>
  <c r="K331" i="17"/>
  <c r="L331" i="17"/>
  <c r="J332" i="17"/>
  <c r="K332" i="17"/>
  <c r="L332" i="17"/>
  <c r="J333" i="17"/>
  <c r="O333" i="17" s="1"/>
  <c r="K333" i="17"/>
  <c r="L333" i="17"/>
  <c r="M333" i="17" s="1"/>
  <c r="J334" i="17"/>
  <c r="K334" i="17"/>
  <c r="L334" i="17"/>
  <c r="J335" i="17"/>
  <c r="O335" i="17" s="1"/>
  <c r="K335" i="17"/>
  <c r="L335" i="17"/>
  <c r="M335" i="17" s="1"/>
  <c r="J336" i="17"/>
  <c r="O336" i="17" s="1"/>
  <c r="K336" i="17"/>
  <c r="L336" i="17"/>
  <c r="J337" i="17"/>
  <c r="O337" i="17" s="1"/>
  <c r="K337" i="17"/>
  <c r="L337" i="17"/>
  <c r="M337" i="17" s="1"/>
  <c r="J338" i="17"/>
  <c r="O338" i="17" s="1"/>
  <c r="K338" i="17"/>
  <c r="L338" i="17"/>
  <c r="J339" i="17"/>
  <c r="O339" i="17" s="1"/>
  <c r="K339" i="17"/>
  <c r="L339" i="17"/>
  <c r="M339" i="17" s="1"/>
  <c r="J340" i="17"/>
  <c r="O340" i="17" s="1"/>
  <c r="K340" i="17"/>
  <c r="L340" i="17"/>
  <c r="M340" i="17" s="1"/>
  <c r="J341" i="17"/>
  <c r="O341" i="17" s="1"/>
  <c r="K341" i="17"/>
  <c r="L341" i="17"/>
  <c r="J342" i="17"/>
  <c r="O342" i="17" s="1"/>
  <c r="K342" i="17"/>
  <c r="L342" i="17"/>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J349" i="17"/>
  <c r="K349" i="17"/>
  <c r="L349" i="17"/>
  <c r="M349" i="17" s="1"/>
  <c r="J350" i="17"/>
  <c r="O350" i="17" s="1"/>
  <c r="K350" i="17"/>
  <c r="L350" i="17"/>
  <c r="J351" i="17"/>
  <c r="O351" i="17" s="1"/>
  <c r="K351" i="17"/>
  <c r="L351" i="17"/>
  <c r="M351" i="17" s="1"/>
  <c r="J352" i="17"/>
  <c r="O352" i="17" s="1"/>
  <c r="K352" i="17"/>
  <c r="L352" i="17"/>
  <c r="J353" i="17"/>
  <c r="K353" i="17"/>
  <c r="L353" i="17"/>
  <c r="M353" i="17" s="1"/>
  <c r="J354" i="17"/>
  <c r="O354" i="17" s="1"/>
  <c r="K354" i="17"/>
  <c r="L354" i="17"/>
  <c r="M354" i="17" s="1"/>
  <c r="J355" i="17"/>
  <c r="O355" i="17" s="1"/>
  <c r="K355" i="17"/>
  <c r="L355" i="17"/>
  <c r="J356" i="17"/>
  <c r="O356" i="17" s="1"/>
  <c r="K356" i="17"/>
  <c r="L356" i="17"/>
  <c r="J357" i="17"/>
  <c r="O357" i="17" s="1"/>
  <c r="K357" i="17"/>
  <c r="L357" i="17"/>
  <c r="M357" i="17" s="1"/>
  <c r="J358" i="17"/>
  <c r="O358" i="17" s="1"/>
  <c r="K358" i="17"/>
  <c r="L358" i="17"/>
  <c r="M358" i="17" s="1"/>
  <c r="J359" i="17"/>
  <c r="O359" i="17" s="1"/>
  <c r="K359" i="17"/>
  <c r="L359" i="17"/>
  <c r="J360" i="17"/>
  <c r="O360" i="17" s="1"/>
  <c r="K360" i="17"/>
  <c r="L360" i="17"/>
  <c r="J361" i="17"/>
  <c r="O361" i="17" s="1"/>
  <c r="K361" i="17"/>
  <c r="L361" i="17"/>
  <c r="M361" i="17" s="1"/>
  <c r="J362" i="17"/>
  <c r="O362" i="17" s="1"/>
  <c r="K362" i="17"/>
  <c r="L362" i="17"/>
  <c r="M362" i="17" s="1"/>
  <c r="J363" i="17"/>
  <c r="O363" i="17" s="1"/>
  <c r="K363" i="17"/>
  <c r="L363" i="17"/>
  <c r="M363" i="17" s="1"/>
  <c r="J364" i="17"/>
  <c r="O364" i="17" s="1"/>
  <c r="K364" i="17"/>
  <c r="L364" i="17"/>
  <c r="J365" i="17"/>
  <c r="K365" i="17"/>
  <c r="L365" i="17"/>
  <c r="M365" i="17" s="1"/>
  <c r="J366" i="17"/>
  <c r="O366" i="17" s="1"/>
  <c r="K366" i="17"/>
  <c r="L366" i="17"/>
  <c r="J367" i="17"/>
  <c r="O367" i="17" s="1"/>
  <c r="K367" i="17"/>
  <c r="L367" i="17"/>
  <c r="M367" i="17" s="1"/>
  <c r="J368" i="17"/>
  <c r="O368" i="17" s="1"/>
  <c r="K368" i="17"/>
  <c r="L368" i="17"/>
  <c r="M368" i="17" s="1"/>
  <c r="J369" i="17"/>
  <c r="O369" i="17" s="1"/>
  <c r="K369" i="17"/>
  <c r="L369" i="17"/>
  <c r="J370" i="17"/>
  <c r="O370" i="17" s="1"/>
  <c r="K370" i="17"/>
  <c r="L370" i="17"/>
  <c r="M370" i="17" s="1"/>
  <c r="J371" i="17"/>
  <c r="O371" i="17" s="1"/>
  <c r="K371" i="17"/>
  <c r="L371" i="17"/>
  <c r="J372" i="17"/>
  <c r="O372" i="17" s="1"/>
  <c r="K372" i="17"/>
  <c r="L372" i="17"/>
  <c r="M372" i="17" s="1"/>
  <c r="J373" i="17"/>
  <c r="O373" i="17" s="1"/>
  <c r="K373" i="17"/>
  <c r="L373" i="17"/>
  <c r="J374" i="17"/>
  <c r="O374" i="17" s="1"/>
  <c r="K374" i="17"/>
  <c r="L374" i="17"/>
  <c r="J375" i="17"/>
  <c r="O375" i="17" s="1"/>
  <c r="K375" i="17"/>
  <c r="L375" i="17"/>
  <c r="M375" i="17" s="1"/>
  <c r="J376" i="17"/>
  <c r="O376" i="17" s="1"/>
  <c r="K376" i="17"/>
  <c r="L376" i="17"/>
  <c r="M376" i="17" s="1"/>
  <c r="J377" i="17"/>
  <c r="K377" i="17"/>
  <c r="L377" i="17"/>
  <c r="M377" i="17" s="1"/>
  <c r="J378" i="17"/>
  <c r="O378" i="17" s="1"/>
  <c r="K378" i="17"/>
  <c r="L378" i="17"/>
  <c r="J379" i="17"/>
  <c r="O379" i="17" s="1"/>
  <c r="K379" i="17"/>
  <c r="L379" i="17"/>
  <c r="M379" i="17" s="1"/>
  <c r="J380" i="17"/>
  <c r="O380" i="17" s="1"/>
  <c r="K380" i="17"/>
  <c r="L380" i="17"/>
  <c r="J381" i="17"/>
  <c r="O381" i="17" s="1"/>
  <c r="K381" i="17"/>
  <c r="L381" i="17"/>
  <c r="M381" i="17" s="1"/>
  <c r="J382" i="17"/>
  <c r="O382" i="17" s="1"/>
  <c r="K382" i="17"/>
  <c r="L382" i="17"/>
  <c r="M382" i="17" s="1"/>
  <c r="J383" i="17"/>
  <c r="K383" i="17"/>
  <c r="L383" i="17"/>
  <c r="J384" i="17"/>
  <c r="O384" i="17" s="1"/>
  <c r="K384" i="17"/>
  <c r="L384" i="17"/>
  <c r="J385" i="17"/>
  <c r="K385" i="17"/>
  <c r="L385" i="17"/>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K390" i="17"/>
  <c r="L390" i="17"/>
  <c r="J391" i="17"/>
  <c r="O391" i="17" s="1"/>
  <c r="K391" i="17"/>
  <c r="L391" i="17"/>
  <c r="M391" i="17" s="1"/>
  <c r="J392" i="17"/>
  <c r="O392" i="17" s="1"/>
  <c r="K392" i="17"/>
  <c r="L392" i="17"/>
  <c r="J393" i="17"/>
  <c r="O393" i="17" s="1"/>
  <c r="K393" i="17"/>
  <c r="L393" i="17"/>
  <c r="M393" i="17" s="1"/>
  <c r="J394" i="17"/>
  <c r="O394" i="17" s="1"/>
  <c r="K394" i="17"/>
  <c r="L394" i="17"/>
  <c r="J395" i="17"/>
  <c r="O395" i="17" s="1"/>
  <c r="K395" i="17"/>
  <c r="L395" i="17"/>
  <c r="M395" i="17" s="1"/>
  <c r="J396" i="17"/>
  <c r="O396" i="17" s="1"/>
  <c r="K396" i="17"/>
  <c r="L396" i="17"/>
  <c r="M396" i="17" s="1"/>
  <c r="J397" i="17"/>
  <c r="O397" i="17" s="1"/>
  <c r="K397" i="17"/>
  <c r="L397" i="17"/>
  <c r="J398" i="17"/>
  <c r="O398" i="17" s="1"/>
  <c r="K398" i="17"/>
  <c r="L398" i="17"/>
  <c r="M398" i="17" s="1"/>
  <c r="J399" i="17"/>
  <c r="K399" i="17"/>
  <c r="L399" i="17"/>
  <c r="J400" i="17"/>
  <c r="O400" i="17" s="1"/>
  <c r="K400" i="17"/>
  <c r="L400" i="17"/>
  <c r="M400" i="17" s="1"/>
  <c r="J401" i="17"/>
  <c r="O401" i="17" s="1"/>
  <c r="K401" i="17"/>
  <c r="L401" i="17"/>
  <c r="J402" i="17"/>
  <c r="O402" i="17" s="1"/>
  <c r="K402" i="17"/>
  <c r="L402" i="17"/>
  <c r="J403" i="17"/>
  <c r="O403" i="17" s="1"/>
  <c r="K403" i="17"/>
  <c r="L403" i="17"/>
  <c r="M403" i="17" s="1"/>
  <c r="J404" i="17"/>
  <c r="O404" i="17" s="1"/>
  <c r="K404" i="17"/>
  <c r="L404" i="17"/>
  <c r="J405" i="17"/>
  <c r="O405" i="17" s="1"/>
  <c r="K405" i="17"/>
  <c r="L405" i="17"/>
  <c r="M405" i="17" s="1"/>
  <c r="J406" i="17"/>
  <c r="O406" i="17" s="1"/>
  <c r="K406" i="17"/>
  <c r="L406" i="17"/>
  <c r="M406" i="17" s="1"/>
  <c r="J407" i="17"/>
  <c r="O407" i="17" s="1"/>
  <c r="K407" i="17"/>
  <c r="L407" i="17"/>
  <c r="M407" i="17" s="1"/>
  <c r="J408" i="17"/>
  <c r="O408" i="17" s="1"/>
  <c r="K408" i="17"/>
  <c r="L408" i="17"/>
  <c r="J409" i="17"/>
  <c r="O409" i="17" s="1"/>
  <c r="K409" i="17"/>
  <c r="L409" i="17"/>
  <c r="M409" i="17" s="1"/>
  <c r="J410" i="17"/>
  <c r="O410" i="17" s="1"/>
  <c r="K410" i="17"/>
  <c r="L410" i="17"/>
  <c r="M410" i="17" s="1"/>
  <c r="J411" i="17"/>
  <c r="O411" i="17" s="1"/>
  <c r="K411" i="17"/>
  <c r="L411" i="17"/>
  <c r="J412" i="17"/>
  <c r="O412" i="17" s="1"/>
  <c r="K412" i="17"/>
  <c r="L412" i="17"/>
  <c r="J413" i="17"/>
  <c r="O413" i="17" s="1"/>
  <c r="K413" i="17"/>
  <c r="L413" i="17"/>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J419" i="17"/>
  <c r="O419" i="17" s="1"/>
  <c r="K419" i="17"/>
  <c r="L419" i="17"/>
  <c r="M419" i="17" s="1"/>
  <c r="J420" i="17"/>
  <c r="O420" i="17" s="1"/>
  <c r="K420" i="17"/>
  <c r="L420" i="17"/>
  <c r="J421" i="17"/>
  <c r="O421" i="17" s="1"/>
  <c r="K421" i="17"/>
  <c r="L421" i="17"/>
  <c r="J422" i="17"/>
  <c r="O422" i="17" s="1"/>
  <c r="K422" i="17"/>
  <c r="L422" i="17"/>
  <c r="J423" i="17"/>
  <c r="K423" i="17"/>
  <c r="L423" i="17"/>
  <c r="M423" i="17" s="1"/>
  <c r="J424" i="17"/>
  <c r="K424" i="17"/>
  <c r="L424" i="17"/>
  <c r="M424" i="17" s="1"/>
  <c r="J425" i="17"/>
  <c r="O425" i="17" s="1"/>
  <c r="K425" i="17"/>
  <c r="L425" i="17"/>
  <c r="J426" i="17"/>
  <c r="O426" i="17" s="1"/>
  <c r="K426" i="17"/>
  <c r="L426" i="17"/>
  <c r="J427" i="17"/>
  <c r="O427" i="17" s="1"/>
  <c r="K427" i="17"/>
  <c r="L427" i="17"/>
  <c r="J428" i="17"/>
  <c r="O428" i="17" s="1"/>
  <c r="K428" i="17"/>
  <c r="L428" i="17"/>
  <c r="M428" i="17" s="1"/>
  <c r="J429" i="17"/>
  <c r="O429" i="17" s="1"/>
  <c r="K429" i="17"/>
  <c r="L429" i="17"/>
  <c r="M429" i="17" s="1"/>
  <c r="J430" i="17"/>
  <c r="K430" i="17"/>
  <c r="L430" i="17"/>
  <c r="M430" i="17" s="1"/>
  <c r="J431" i="17"/>
  <c r="O431" i="17" s="1"/>
  <c r="K431" i="17"/>
  <c r="L431" i="17"/>
  <c r="M431" i="17" s="1"/>
  <c r="J432" i="17"/>
  <c r="O432" i="17" s="1"/>
  <c r="K432" i="17"/>
  <c r="L432" i="17"/>
  <c r="J433" i="17"/>
  <c r="O433" i="17" s="1"/>
  <c r="K433" i="17"/>
  <c r="L433" i="17"/>
  <c r="M433" i="17" s="1"/>
  <c r="J434" i="17"/>
  <c r="O434" i="17" s="1"/>
  <c r="K434" i="17"/>
  <c r="L434" i="17"/>
  <c r="M434" i="17" s="1"/>
  <c r="J435" i="17"/>
  <c r="K435" i="17"/>
  <c r="L435" i="17"/>
  <c r="M435" i="17" s="1"/>
  <c r="J436" i="17"/>
  <c r="O436" i="17" s="1"/>
  <c r="K436" i="17"/>
  <c r="L436" i="17"/>
  <c r="J437" i="17"/>
  <c r="O437" i="17" s="1"/>
  <c r="K437" i="17"/>
  <c r="L437" i="17"/>
  <c r="M437" i="17" s="1"/>
  <c r="J438" i="17"/>
  <c r="O438" i="17" s="1"/>
  <c r="K438" i="17"/>
  <c r="L438" i="17"/>
  <c r="M438" i="17" s="1"/>
  <c r="J439" i="17"/>
  <c r="O439" i="17" s="1"/>
  <c r="K439" i="17"/>
  <c r="L439" i="17"/>
  <c r="J440" i="17"/>
  <c r="O440" i="17" s="1"/>
  <c r="K440" i="17"/>
  <c r="L440" i="17"/>
  <c r="J441" i="17"/>
  <c r="O441" i="17" s="1"/>
  <c r="K441" i="17"/>
  <c r="L441" i="17"/>
  <c r="M441" i="17" s="1"/>
  <c r="J442" i="17"/>
  <c r="O442" i="17" s="1"/>
  <c r="K442" i="17"/>
  <c r="L442" i="17"/>
  <c r="M442" i="17" s="1"/>
  <c r="J443" i="17"/>
  <c r="O443" i="17" s="1"/>
  <c r="K443" i="17"/>
  <c r="L443" i="17"/>
  <c r="J444" i="17"/>
  <c r="O444" i="17" s="1"/>
  <c r="K444" i="17"/>
  <c r="L444" i="17"/>
  <c r="M444" i="17" s="1"/>
  <c r="J445" i="17"/>
  <c r="O445" i="17" s="1"/>
  <c r="K445" i="17"/>
  <c r="L445" i="17"/>
  <c r="M445" i="17" s="1"/>
  <c r="J446" i="17"/>
  <c r="K446" i="17"/>
  <c r="L446" i="17"/>
  <c r="J447" i="17"/>
  <c r="K447" i="17"/>
  <c r="L447" i="17"/>
  <c r="M447" i="17" s="1"/>
  <c r="J448" i="17"/>
  <c r="O448" i="17" s="1"/>
  <c r="K448" i="17"/>
  <c r="L448" i="17"/>
  <c r="J449" i="17"/>
  <c r="O449" i="17" s="1"/>
  <c r="K449" i="17"/>
  <c r="L449" i="17"/>
  <c r="M449" i="17" s="1"/>
  <c r="J450" i="17"/>
  <c r="O450" i="17" s="1"/>
  <c r="K450" i="17"/>
  <c r="L450" i="17"/>
  <c r="J451" i="17"/>
  <c r="O451" i="17" s="1"/>
  <c r="K451" i="17"/>
  <c r="L451" i="17"/>
  <c r="M451" i="17" s="1"/>
  <c r="J452" i="17"/>
  <c r="O452" i="17" s="1"/>
  <c r="K452" i="17"/>
  <c r="L452" i="17"/>
  <c r="M452" i="17" s="1"/>
  <c r="J453" i="17"/>
  <c r="O453" i="17" s="1"/>
  <c r="K453" i="17"/>
  <c r="L453" i="17"/>
  <c r="J454" i="17"/>
  <c r="O454" i="17" s="1"/>
  <c r="K454" i="17"/>
  <c r="L454" i="17"/>
  <c r="J455" i="17"/>
  <c r="O455" i="17" s="1"/>
  <c r="K455" i="17"/>
  <c r="L455" i="17"/>
  <c r="J456" i="17"/>
  <c r="K456" i="17"/>
  <c r="L456" i="17"/>
  <c r="M456" i="17" s="1"/>
  <c r="J457" i="17"/>
  <c r="O457" i="17" s="1"/>
  <c r="K457" i="17"/>
  <c r="L457" i="17"/>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J463" i="17"/>
  <c r="O463" i="17" s="1"/>
  <c r="K463" i="17"/>
  <c r="L463" i="17"/>
  <c r="M463" i="17" s="1"/>
  <c r="J464" i="17"/>
  <c r="O464" i="17" s="1"/>
  <c r="K464" i="17"/>
  <c r="L464" i="17"/>
  <c r="J465" i="17"/>
  <c r="O465" i="17" s="1"/>
  <c r="K465" i="17"/>
  <c r="L465" i="17"/>
  <c r="M465" i="17" s="1"/>
  <c r="J466" i="17"/>
  <c r="O466" i="17" s="1"/>
  <c r="K466" i="17"/>
  <c r="L466" i="17"/>
  <c r="M466" i="17" s="1"/>
  <c r="J467" i="17"/>
  <c r="K467" i="17"/>
  <c r="L467" i="17"/>
  <c r="J468" i="17"/>
  <c r="K468" i="17"/>
  <c r="L468" i="17"/>
  <c r="M468" i="17" s="1"/>
  <c r="J469" i="17"/>
  <c r="O469" i="17" s="1"/>
  <c r="K469" i="17"/>
  <c r="L469" i="17"/>
  <c r="M469" i="17" s="1"/>
  <c r="J470" i="17"/>
  <c r="O470" i="17" s="1"/>
  <c r="K470" i="17"/>
  <c r="L470" i="17"/>
  <c r="M470" i="17" s="1"/>
  <c r="J471" i="17"/>
  <c r="O471" i="17" s="1"/>
  <c r="K471" i="17"/>
  <c r="L471" i="17"/>
  <c r="J472" i="17"/>
  <c r="O472" i="17" s="1"/>
  <c r="K472" i="17"/>
  <c r="L472" i="17"/>
  <c r="M472" i="17" s="1"/>
  <c r="J473" i="17"/>
  <c r="O473" i="17" s="1"/>
  <c r="K473" i="17"/>
  <c r="L473" i="17"/>
  <c r="M473" i="17" s="1"/>
  <c r="J474" i="17"/>
  <c r="O474" i="17" s="1"/>
  <c r="K474" i="17"/>
  <c r="L474" i="17"/>
  <c r="J475" i="17"/>
  <c r="O475" i="17" s="1"/>
  <c r="K475" i="17"/>
  <c r="L475" i="17"/>
  <c r="J476" i="17"/>
  <c r="O476" i="17" s="1"/>
  <c r="K476" i="17"/>
  <c r="L476" i="17"/>
  <c r="J477" i="17"/>
  <c r="O477" i="17" s="1"/>
  <c r="K477" i="17"/>
  <c r="L477" i="17"/>
  <c r="M477" i="17" s="1"/>
  <c r="J478" i="17"/>
  <c r="O478" i="17" s="1"/>
  <c r="K478" i="17"/>
  <c r="L478" i="17"/>
  <c r="J479" i="17"/>
  <c r="O479" i="17" s="1"/>
  <c r="K479" i="17"/>
  <c r="L479" i="17"/>
  <c r="M479" i="17" s="1"/>
  <c r="J480" i="17"/>
  <c r="O480" i="17" s="1"/>
  <c r="K480" i="17"/>
  <c r="L480" i="17"/>
  <c r="M480" i="17" s="1"/>
  <c r="J481" i="17"/>
  <c r="O481" i="17" s="1"/>
  <c r="K481" i="17"/>
  <c r="L481" i="17"/>
  <c r="J482" i="17"/>
  <c r="O482" i="17" s="1"/>
  <c r="K482" i="17"/>
  <c r="L482" i="17"/>
  <c r="M482" i="17" s="1"/>
  <c r="J483" i="17"/>
  <c r="O483" i="17" s="1"/>
  <c r="K483" i="17"/>
  <c r="L483" i="17"/>
  <c r="J484" i="17"/>
  <c r="O484" i="17" s="1"/>
  <c r="K484" i="17"/>
  <c r="L484" i="17"/>
  <c r="M484" i="17" s="1"/>
  <c r="J485" i="17"/>
  <c r="O485" i="17" s="1"/>
  <c r="K485" i="17"/>
  <c r="L485" i="17"/>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J491" i="17"/>
  <c r="K491" i="17"/>
  <c r="L491" i="17"/>
  <c r="M491" i="17" s="1"/>
  <c r="J492" i="17"/>
  <c r="O492" i="17" s="1"/>
  <c r="K492" i="17"/>
  <c r="L492" i="17"/>
  <c r="J493" i="17"/>
  <c r="O493" i="17" s="1"/>
  <c r="K493" i="17"/>
  <c r="L493" i="17"/>
  <c r="M493" i="17" s="1"/>
  <c r="J494" i="17"/>
  <c r="O494" i="17" s="1"/>
  <c r="K494" i="17"/>
  <c r="L494" i="17"/>
  <c r="M494" i="17" s="1"/>
  <c r="J495" i="17"/>
  <c r="O495" i="17" s="1"/>
  <c r="K495" i="17"/>
  <c r="L495" i="17"/>
  <c r="J496" i="17"/>
  <c r="O496" i="17" s="1"/>
  <c r="K496" i="17"/>
  <c r="L496" i="17"/>
  <c r="J497" i="17"/>
  <c r="O497" i="17" s="1"/>
  <c r="K497" i="17"/>
  <c r="L497" i="17"/>
  <c r="J498" i="17"/>
  <c r="O498" i="17" s="1"/>
  <c r="K498" i="17"/>
  <c r="L498" i="17"/>
  <c r="M498" i="17" s="1"/>
  <c r="J499" i="17"/>
  <c r="K499" i="17"/>
  <c r="L499" i="17"/>
  <c r="J500" i="17"/>
  <c r="O500" i="17" s="1"/>
  <c r="K500" i="17"/>
  <c r="L500" i="17"/>
  <c r="M500" i="17" s="1"/>
  <c r="J501" i="17"/>
  <c r="O501" i="17" s="1"/>
  <c r="K501" i="17"/>
  <c r="L501" i="17"/>
  <c r="M501" i="17" s="1"/>
  <c r="J502" i="17"/>
  <c r="K502" i="17"/>
  <c r="L502" i="17"/>
  <c r="J503" i="17"/>
  <c r="O503" i="17" s="1"/>
  <c r="K503" i="17"/>
  <c r="L503" i="17"/>
  <c r="M503" i="17" s="1"/>
  <c r="J504" i="17"/>
  <c r="O504" i="17" s="1"/>
  <c r="K504" i="17"/>
  <c r="L504" i="17"/>
  <c r="M504" i="17" s="1"/>
  <c r="J505" i="17"/>
  <c r="O505" i="17" s="1"/>
  <c r="K505" i="17"/>
  <c r="L505" i="17"/>
  <c r="M505" i="17" s="1"/>
  <c r="J506" i="17"/>
  <c r="O506" i="17" s="1"/>
  <c r="K506" i="17"/>
  <c r="L506" i="17"/>
  <c r="J507" i="17"/>
  <c r="O507" i="17" s="1"/>
  <c r="K507" i="17"/>
  <c r="L507" i="17"/>
  <c r="M507" i="17" s="1"/>
  <c r="J508" i="17"/>
  <c r="O508" i="17" s="1"/>
  <c r="K508" i="17"/>
  <c r="L508" i="17"/>
  <c r="M508" i="17" s="1"/>
  <c r="J509" i="17"/>
  <c r="O509" i="17" s="1"/>
  <c r="K509" i="17"/>
  <c r="L509" i="17"/>
  <c r="J510" i="17"/>
  <c r="O510" i="17" s="1"/>
  <c r="K510" i="17"/>
  <c r="L510" i="17"/>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K516" i="17"/>
  <c r="L516" i="17"/>
  <c r="J517" i="17"/>
  <c r="O517" i="17" s="1"/>
  <c r="K517" i="17"/>
  <c r="L517" i="17"/>
  <c r="M517" i="17" s="1"/>
  <c r="J518" i="17"/>
  <c r="O518" i="17" s="1"/>
  <c r="K518" i="17"/>
  <c r="L518" i="17"/>
  <c r="M518" i="17" s="1"/>
  <c r="J519" i="17"/>
  <c r="O519" i="17" s="1"/>
  <c r="K519" i="17"/>
  <c r="L519" i="17"/>
  <c r="M519" i="17" s="1"/>
  <c r="J520" i="17"/>
  <c r="O520" i="17" s="1"/>
  <c r="K520" i="17"/>
  <c r="L520" i="17"/>
  <c r="J521" i="17"/>
  <c r="K521" i="17"/>
  <c r="L521" i="17"/>
  <c r="M521" i="17" s="1"/>
  <c r="J522" i="17"/>
  <c r="O522" i="17" s="1"/>
  <c r="K522" i="17"/>
  <c r="L522" i="17"/>
  <c r="M522" i="17" s="1"/>
  <c r="J523" i="17"/>
  <c r="O523" i="17" s="1"/>
  <c r="K523" i="17"/>
  <c r="L523" i="17"/>
  <c r="J524" i="17"/>
  <c r="O524" i="17" s="1"/>
  <c r="K524" i="17"/>
  <c r="L524" i="17"/>
  <c r="J525" i="17"/>
  <c r="O525" i="17" s="1"/>
  <c r="K525" i="17"/>
  <c r="L525" i="17"/>
  <c r="J526" i="17"/>
  <c r="O526" i="17" s="1"/>
  <c r="K526" i="17"/>
  <c r="L526" i="17"/>
  <c r="M526" i="17" s="1"/>
  <c r="J527" i="17"/>
  <c r="O527" i="17" s="1"/>
  <c r="K527" i="17"/>
  <c r="L527" i="17"/>
  <c r="J528" i="17"/>
  <c r="O528" i="17" s="1"/>
  <c r="K528" i="17"/>
  <c r="L528" i="17"/>
  <c r="J529" i="17"/>
  <c r="O529" i="17" s="1"/>
  <c r="K529" i="17"/>
  <c r="L529" i="17"/>
  <c r="M529" i="17" s="1"/>
  <c r="J530" i="17"/>
  <c r="O530" i="17" s="1"/>
  <c r="K530" i="17"/>
  <c r="L530" i="17"/>
  <c r="M530" i="17" s="1"/>
  <c r="J531" i="17"/>
  <c r="O531" i="17" s="1"/>
  <c r="K531" i="17"/>
  <c r="L531" i="17"/>
  <c r="M531" i="17" s="1"/>
  <c r="J532" i="17"/>
  <c r="O532" i="17" s="1"/>
  <c r="K532" i="17"/>
  <c r="L532" i="17"/>
  <c r="J533" i="17"/>
  <c r="O533" i="17" s="1"/>
  <c r="K533" i="17"/>
  <c r="L533" i="17"/>
  <c r="M533" i="17" s="1"/>
  <c r="J534" i="17"/>
  <c r="O534" i="17" s="1"/>
  <c r="K534" i="17"/>
  <c r="L534" i="17"/>
  <c r="J535" i="17"/>
  <c r="K535" i="17"/>
  <c r="L535" i="17"/>
  <c r="M535" i="17" s="1"/>
  <c r="J536" i="17"/>
  <c r="K536" i="17"/>
  <c r="L536" i="17"/>
  <c r="M536" i="17" s="1"/>
  <c r="J537" i="17"/>
  <c r="O537" i="17" s="1"/>
  <c r="K537" i="17"/>
  <c r="L537" i="17"/>
  <c r="J538" i="17"/>
  <c r="O538" i="17" s="1"/>
  <c r="K538" i="17"/>
  <c r="L538" i="17"/>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K544" i="17"/>
  <c r="L544" i="17"/>
  <c r="J545" i="17"/>
  <c r="O545" i="17" s="1"/>
  <c r="K545" i="17"/>
  <c r="L545" i="17"/>
  <c r="M545" i="17" s="1"/>
  <c r="J546" i="17"/>
  <c r="O546" i="17" s="1"/>
  <c r="K546" i="17"/>
  <c r="L546" i="17"/>
  <c r="J547" i="17"/>
  <c r="O547" i="17" s="1"/>
  <c r="K547" i="17"/>
  <c r="L547" i="17"/>
  <c r="M547" i="17" s="1"/>
  <c r="J548" i="17"/>
  <c r="O548" i="17" s="1"/>
  <c r="K548" i="17"/>
  <c r="L548" i="17"/>
  <c r="J549" i="17"/>
  <c r="O549" i="17" s="1"/>
  <c r="K549" i="17"/>
  <c r="L549" i="17"/>
  <c r="M549" i="17" s="1"/>
  <c r="J550" i="17"/>
  <c r="O550" i="17" s="1"/>
  <c r="K550" i="17"/>
  <c r="L550" i="17"/>
  <c r="M550" i="17" s="1"/>
  <c r="J551" i="17"/>
  <c r="O551" i="17" s="1"/>
  <c r="K551" i="17"/>
  <c r="L551" i="17"/>
  <c r="J552" i="17"/>
  <c r="O552" i="17" s="1"/>
  <c r="K552" i="17"/>
  <c r="L552" i="17"/>
  <c r="J553" i="17"/>
  <c r="O553" i="17" s="1"/>
  <c r="K553" i="17"/>
  <c r="L553" i="17"/>
  <c r="M553" i="17" s="1"/>
  <c r="J554" i="17"/>
  <c r="O554" i="17" s="1"/>
  <c r="K554" i="17"/>
  <c r="L554" i="17"/>
  <c r="M554" i="17" s="1"/>
  <c r="J555" i="17"/>
  <c r="O555" i="17" s="1"/>
  <c r="K555" i="17"/>
  <c r="L555" i="17"/>
  <c r="J556" i="17"/>
  <c r="O556" i="17" s="1"/>
  <c r="K556" i="17"/>
  <c r="L556" i="17"/>
  <c r="J557" i="17"/>
  <c r="O557" i="17" s="1"/>
  <c r="K557" i="17"/>
  <c r="L557" i="17"/>
  <c r="M557" i="17" s="1"/>
  <c r="J558" i="17"/>
  <c r="O558" i="17" s="1"/>
  <c r="K558" i="17"/>
  <c r="L558" i="17"/>
  <c r="M558" i="17" s="1"/>
  <c r="J559" i="17"/>
  <c r="K559" i="17"/>
  <c r="L559" i="17"/>
  <c r="M559" i="17" s="1"/>
  <c r="J560" i="17"/>
  <c r="O560" i="17" s="1"/>
  <c r="K560" i="17"/>
  <c r="L560" i="17"/>
  <c r="J561" i="17"/>
  <c r="K561" i="17"/>
  <c r="L561" i="17"/>
  <c r="M561" i="17" s="1"/>
  <c r="J562" i="17"/>
  <c r="O562" i="17" s="1"/>
  <c r="K562" i="17"/>
  <c r="L562" i="17"/>
  <c r="J563" i="17"/>
  <c r="O563" i="17" s="1"/>
  <c r="K563" i="17"/>
  <c r="L563" i="17"/>
  <c r="M563" i="17" s="1"/>
  <c r="J564" i="17"/>
  <c r="O564" i="17" s="1"/>
  <c r="K564" i="17"/>
  <c r="L564" i="17"/>
  <c r="M564" i="17" s="1"/>
  <c r="J565" i="17"/>
  <c r="O565" i="17" s="1"/>
  <c r="K565" i="17"/>
  <c r="L565" i="17"/>
  <c r="J566" i="17"/>
  <c r="O566" i="17" s="1"/>
  <c r="K566" i="17"/>
  <c r="L566" i="17"/>
  <c r="M566" i="17" s="1"/>
  <c r="J567" i="17"/>
  <c r="O567" i="17" s="1"/>
  <c r="K567" i="17"/>
  <c r="L567" i="17"/>
  <c r="J568" i="17"/>
  <c r="O568" i="17" s="1"/>
  <c r="K568" i="17"/>
  <c r="L568" i="17"/>
  <c r="M568" i="17" s="1"/>
  <c r="J569" i="17"/>
  <c r="O569" i="17" s="1"/>
  <c r="K569" i="17"/>
  <c r="L569" i="17"/>
  <c r="J570" i="17"/>
  <c r="O570" i="17" s="1"/>
  <c r="K570" i="17"/>
  <c r="L570" i="17"/>
  <c r="J571" i="17"/>
  <c r="O571" i="17" s="1"/>
  <c r="K571" i="17"/>
  <c r="L571" i="17"/>
  <c r="M571" i="17" s="1"/>
  <c r="J572" i="17"/>
  <c r="O572" i="17" s="1"/>
  <c r="K572" i="17"/>
  <c r="L572" i="17"/>
  <c r="M572" i="17" s="1"/>
  <c r="J573" i="17"/>
  <c r="O573" i="17" s="1"/>
  <c r="K573" i="17"/>
  <c r="L573" i="17"/>
  <c r="M573" i="17" s="1"/>
  <c r="J574" i="17"/>
  <c r="O574" i="17" s="1"/>
  <c r="K574" i="17"/>
  <c r="L574" i="17"/>
  <c r="J575" i="17"/>
  <c r="K575" i="17"/>
  <c r="L575" i="17"/>
  <c r="M575" i="17" s="1"/>
  <c r="J576" i="17"/>
  <c r="O576" i="17" s="1"/>
  <c r="K576" i="17"/>
  <c r="L576" i="17"/>
  <c r="J577" i="17"/>
  <c r="O577" i="17" s="1"/>
  <c r="K577" i="17"/>
  <c r="L577" i="17"/>
  <c r="M577" i="17" s="1"/>
  <c r="J578" i="17"/>
  <c r="O578" i="17" s="1"/>
  <c r="K578" i="17"/>
  <c r="L578" i="17"/>
  <c r="M578" i="17" s="1"/>
  <c r="J579" i="17"/>
  <c r="O579" i="17" s="1"/>
  <c r="K579" i="17"/>
  <c r="L579" i="17"/>
  <c r="J580" i="17"/>
  <c r="O580" i="17" s="1"/>
  <c r="K580" i="17"/>
  <c r="L580" i="17"/>
  <c r="J581" i="17"/>
  <c r="K581" i="17"/>
  <c r="L581" i="17"/>
  <c r="J582" i="17"/>
  <c r="K582" i="17"/>
  <c r="L582" i="17"/>
  <c r="M582" i="17" s="1"/>
  <c r="J583" i="17"/>
  <c r="O583" i="17" s="1"/>
  <c r="K583" i="17"/>
  <c r="L583" i="17"/>
  <c r="M583" i="17" s="1"/>
  <c r="J584" i="17"/>
  <c r="O584" i="17" s="1"/>
  <c r="K584" i="17"/>
  <c r="L584" i="17"/>
  <c r="M584" i="17" s="1"/>
  <c r="J585" i="17"/>
  <c r="O585" i="17" s="1"/>
  <c r="K585" i="17"/>
  <c r="L585" i="17"/>
  <c r="M585" i="17" s="1"/>
  <c r="J586" i="17"/>
  <c r="K586" i="17"/>
  <c r="L586" i="17"/>
  <c r="J587" i="17"/>
  <c r="O587" i="17" s="1"/>
  <c r="K587" i="17"/>
  <c r="L587" i="17"/>
  <c r="M587" i="17" s="1"/>
  <c r="J588" i="17"/>
  <c r="O588" i="17" s="1"/>
  <c r="K588" i="17"/>
  <c r="L588" i="17"/>
  <c r="J589" i="17"/>
  <c r="O589" i="17" s="1"/>
  <c r="K589" i="17"/>
  <c r="L589" i="17"/>
  <c r="M589" i="17" s="1"/>
  <c r="J590" i="17"/>
  <c r="O590" i="17" s="1"/>
  <c r="K590" i="17"/>
  <c r="L590" i="17"/>
  <c r="J591" i="17"/>
  <c r="O591" i="17" s="1"/>
  <c r="K591" i="17"/>
  <c r="L591" i="17"/>
  <c r="M591" i="17" s="1"/>
  <c r="J592" i="17"/>
  <c r="K592" i="17"/>
  <c r="L592" i="17"/>
  <c r="M592" i="17" s="1"/>
  <c r="J593" i="17"/>
  <c r="O593" i="17" s="1"/>
  <c r="K593" i="17"/>
  <c r="L593" i="17"/>
  <c r="J594" i="17"/>
  <c r="O594" i="17" s="1"/>
  <c r="K594" i="17"/>
  <c r="L594" i="17"/>
  <c r="M594" i="17" s="1"/>
  <c r="J595" i="17"/>
  <c r="O595" i="17" s="1"/>
  <c r="K595" i="17"/>
  <c r="L595" i="17"/>
  <c r="J596" i="17"/>
  <c r="O596" i="17" s="1"/>
  <c r="K596" i="17"/>
  <c r="L596" i="17"/>
  <c r="M596" i="17" s="1"/>
  <c r="J597" i="17"/>
  <c r="O597" i="17" s="1"/>
  <c r="K597" i="17"/>
  <c r="L597" i="17"/>
  <c r="J598" i="17"/>
  <c r="O598" i="17" s="1"/>
  <c r="K598" i="17"/>
  <c r="L598" i="17"/>
  <c r="J599" i="17"/>
  <c r="O599" i="17" s="1"/>
  <c r="K599" i="17"/>
  <c r="L599" i="17"/>
  <c r="M599" i="17" s="1"/>
  <c r="J600" i="17"/>
  <c r="K600" i="17"/>
  <c r="L600" i="17"/>
  <c r="J601" i="17"/>
  <c r="O601" i="17" s="1"/>
  <c r="K601" i="17"/>
  <c r="L601" i="17"/>
  <c r="M601" i="17" s="1"/>
  <c r="J602" i="17"/>
  <c r="O602" i="17" s="1"/>
  <c r="K602" i="17"/>
  <c r="L602" i="17"/>
  <c r="M602" i="17" s="1"/>
  <c r="J603" i="17"/>
  <c r="O603" i="17" s="1"/>
  <c r="K603" i="17"/>
  <c r="L603" i="17"/>
  <c r="M603" i="17" s="1"/>
  <c r="J604" i="17"/>
  <c r="O604" i="17" s="1"/>
  <c r="K604" i="17"/>
  <c r="L604" i="17"/>
  <c r="J605" i="17"/>
  <c r="O605" i="17" s="1"/>
  <c r="K605" i="17"/>
  <c r="L605" i="17"/>
  <c r="M605" i="17" s="1"/>
  <c r="J606" i="17"/>
  <c r="O606" i="17" s="1"/>
  <c r="K606" i="17"/>
  <c r="L606" i="17"/>
  <c r="M606" i="17" s="1"/>
  <c r="J607" i="17"/>
  <c r="O607" i="17" s="1"/>
  <c r="K607" i="17"/>
  <c r="L607" i="17"/>
  <c r="J608" i="17"/>
  <c r="O608" i="17" s="1"/>
  <c r="K608" i="17"/>
  <c r="L608" i="17"/>
  <c r="J609" i="17"/>
  <c r="O609" i="17" s="1"/>
  <c r="K609" i="17"/>
  <c r="L609" i="17"/>
  <c r="J610" i="17"/>
  <c r="O610" i="17" s="1"/>
  <c r="K610" i="17"/>
  <c r="L610" i="17"/>
  <c r="M610" i="17" s="1"/>
  <c r="J611" i="17"/>
  <c r="O611" i="17" s="1"/>
  <c r="K611" i="17"/>
  <c r="L611" i="17"/>
  <c r="M611" i="17" s="1"/>
  <c r="J612" i="17"/>
  <c r="K612" i="17"/>
  <c r="L612" i="17"/>
  <c r="M612" i="17" s="1"/>
  <c r="J613" i="17"/>
  <c r="O613" i="17" s="1"/>
  <c r="K613" i="17"/>
  <c r="L613" i="17"/>
  <c r="M613" i="17" s="1"/>
  <c r="J614" i="17"/>
  <c r="O614" i="17" s="1"/>
  <c r="K614" i="17"/>
  <c r="L614" i="17"/>
  <c r="J615" i="17"/>
  <c r="K615" i="17"/>
  <c r="L615" i="17"/>
  <c r="M615" i="17" s="1"/>
  <c r="J616" i="17"/>
  <c r="O616" i="17" s="1"/>
  <c r="K616" i="17"/>
  <c r="L616" i="17"/>
  <c r="J617" i="17"/>
  <c r="O617" i="17" s="1"/>
  <c r="K617" i="17"/>
  <c r="L617" i="17"/>
  <c r="J618" i="17"/>
  <c r="O618" i="17" s="1"/>
  <c r="K618" i="17"/>
  <c r="L618" i="17"/>
  <c r="J619" i="17"/>
  <c r="O619" i="17" s="1"/>
  <c r="K619" i="17"/>
  <c r="L619" i="17"/>
  <c r="M619" i="17" s="1"/>
  <c r="J620" i="17"/>
  <c r="K620" i="17"/>
  <c r="L620" i="17"/>
  <c r="M620" i="17" s="1"/>
  <c r="J621" i="17"/>
  <c r="O621" i="17" s="1"/>
  <c r="K621" i="17"/>
  <c r="L621" i="17"/>
  <c r="J622" i="17"/>
  <c r="O622" i="17" s="1"/>
  <c r="K622" i="17"/>
  <c r="L622" i="17"/>
  <c r="J623" i="17"/>
  <c r="O623" i="17" s="1"/>
  <c r="K623" i="17"/>
  <c r="L623" i="17"/>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J629" i="17"/>
  <c r="O629" i="17" s="1"/>
  <c r="K629" i="17"/>
  <c r="L629" i="17"/>
  <c r="M629" i="17" s="1"/>
  <c r="J630" i="17"/>
  <c r="O630" i="17" s="1"/>
  <c r="K630" i="17"/>
  <c r="L630" i="17"/>
  <c r="M630" i="17" s="1"/>
  <c r="J631" i="17"/>
  <c r="K631" i="17"/>
  <c r="L631" i="17"/>
  <c r="M631" i="17" s="1"/>
  <c r="J632" i="17"/>
  <c r="O632" i="17" s="1"/>
  <c r="K632" i="17"/>
  <c r="L632" i="17"/>
  <c r="J633" i="17"/>
  <c r="K633" i="17"/>
  <c r="L633" i="17"/>
  <c r="M633" i="17" s="1"/>
  <c r="J634" i="17"/>
  <c r="O634" i="17" s="1"/>
  <c r="K634" i="17"/>
  <c r="L634" i="17"/>
  <c r="M634" i="17" s="1"/>
  <c r="J635" i="17"/>
  <c r="O635" i="17" s="1"/>
  <c r="K635" i="17"/>
  <c r="L635" i="17"/>
  <c r="J636" i="17"/>
  <c r="O636" i="17" s="1"/>
  <c r="K636" i="17"/>
  <c r="L636" i="17"/>
  <c r="M636" i="17" s="1"/>
  <c r="J637" i="17"/>
  <c r="O637" i="17" s="1"/>
  <c r="K637" i="17"/>
  <c r="L637" i="17"/>
  <c r="M637" i="17" s="1"/>
  <c r="J638" i="17"/>
  <c r="O638" i="17" s="1"/>
  <c r="K638" i="17"/>
  <c r="L638" i="17"/>
  <c r="M638" i="17" s="1"/>
  <c r="J639" i="17"/>
  <c r="O639" i="17" s="1"/>
  <c r="K639" i="17"/>
  <c r="L639" i="17"/>
  <c r="J640" i="17"/>
  <c r="O640" i="17" s="1"/>
  <c r="K640" i="17"/>
  <c r="L640" i="17"/>
  <c r="M640" i="17" s="1"/>
  <c r="J641" i="17"/>
  <c r="O641" i="17" s="1"/>
  <c r="K641" i="17"/>
  <c r="L641" i="17"/>
  <c r="M641" i="17" s="1"/>
  <c r="J642" i="17"/>
  <c r="K642" i="17"/>
  <c r="L642" i="17"/>
  <c r="J643" i="17"/>
  <c r="O643" i="17" s="1"/>
  <c r="K643" i="17"/>
  <c r="L643" i="17"/>
  <c r="M643" i="17" s="1"/>
  <c r="J644" i="17"/>
  <c r="O644" i="17" s="1"/>
  <c r="K644" i="17"/>
  <c r="L644" i="17"/>
  <c r="J645" i="17"/>
  <c r="K645" i="17"/>
  <c r="L645" i="17"/>
  <c r="M645" i="17" s="1"/>
  <c r="J646" i="17"/>
  <c r="O646" i="17" s="1"/>
  <c r="K646" i="17"/>
  <c r="L646" i="17"/>
  <c r="J647" i="17"/>
  <c r="O647" i="17" s="1"/>
  <c r="K647" i="17"/>
  <c r="L647" i="17"/>
  <c r="M647" i="17" s="1"/>
  <c r="J648" i="17"/>
  <c r="O648" i="17" s="1"/>
  <c r="K648" i="17"/>
  <c r="L648" i="17"/>
  <c r="M648" i="17" s="1"/>
  <c r="J649" i="17"/>
  <c r="O649" i="17" s="1"/>
  <c r="K649" i="17"/>
  <c r="L649" i="17"/>
  <c r="J650" i="17"/>
  <c r="O650" i="17" s="1"/>
  <c r="K650" i="17"/>
  <c r="L650" i="17"/>
  <c r="J651" i="17"/>
  <c r="O651" i="17" s="1"/>
  <c r="K651" i="17"/>
  <c r="L651" i="17"/>
  <c r="J652" i="17"/>
  <c r="K652" i="17"/>
  <c r="L652" i="17"/>
  <c r="M652" i="17" s="1"/>
  <c r="J653" i="17"/>
  <c r="O653" i="17" s="1"/>
  <c r="K653" i="17"/>
  <c r="L653" i="17"/>
  <c r="J654" i="17"/>
  <c r="O654" i="17" s="1"/>
  <c r="K654" i="17"/>
  <c r="L654" i="17"/>
  <c r="M654" i="17" s="1"/>
  <c r="J655" i="17"/>
  <c r="O655" i="17" s="1"/>
  <c r="K655" i="17"/>
  <c r="L655" i="17"/>
  <c r="M655" i="17" s="1"/>
  <c r="J656" i="17"/>
  <c r="K656" i="17"/>
  <c r="L656" i="17"/>
  <c r="M656" i="17" s="1"/>
  <c r="J657" i="17"/>
  <c r="O657" i="17" s="1"/>
  <c r="K657" i="17"/>
  <c r="L657" i="17"/>
  <c r="M657" i="17" s="1"/>
  <c r="J658" i="17"/>
  <c r="O658" i="17" s="1"/>
  <c r="K658" i="17"/>
  <c r="L658" i="17"/>
  <c r="J659" i="17"/>
  <c r="O659" i="17" s="1"/>
  <c r="K659" i="17"/>
  <c r="L659" i="17"/>
  <c r="M659" i="17" s="1"/>
  <c r="J660" i="17"/>
  <c r="O660" i="17" s="1"/>
  <c r="K660" i="17"/>
  <c r="L660" i="17"/>
  <c r="J661" i="17"/>
  <c r="O661" i="17" s="1"/>
  <c r="K661" i="17"/>
  <c r="L661" i="17"/>
  <c r="M661" i="17" s="1"/>
  <c r="J662" i="17"/>
  <c r="O662" i="17" s="1"/>
  <c r="K662" i="17"/>
  <c r="L662" i="17"/>
  <c r="M662" i="17" s="1"/>
  <c r="J663" i="17"/>
  <c r="O663" i="17" s="1"/>
  <c r="K663" i="17"/>
  <c r="L663" i="17"/>
  <c r="J664" i="17"/>
  <c r="O664" i="17" s="1"/>
  <c r="K664" i="17"/>
  <c r="L664" i="17"/>
  <c r="M664" i="17" s="1"/>
  <c r="J665" i="17"/>
  <c r="O665" i="17" s="1"/>
  <c r="K665" i="17"/>
  <c r="L665" i="17"/>
  <c r="M665" i="17" s="1"/>
  <c r="J666" i="17"/>
  <c r="O666" i="17" s="1"/>
  <c r="K666" i="17"/>
  <c r="L666" i="17"/>
  <c r="M666" i="17" s="1"/>
  <c r="J667" i="17"/>
  <c r="O667" i="17" s="1"/>
  <c r="K667" i="17"/>
  <c r="L667" i="17"/>
  <c r="J668" i="17"/>
  <c r="O668" i="17" s="1"/>
  <c r="K668" i="17"/>
  <c r="L668" i="17"/>
  <c r="M668" i="17" s="1"/>
  <c r="J669" i="17"/>
  <c r="O669" i="17" s="1"/>
  <c r="K669" i="17"/>
  <c r="L669" i="17"/>
  <c r="M669" i="17" s="1"/>
  <c r="J670" i="17"/>
  <c r="O670" i="17" s="1"/>
  <c r="K670" i="17"/>
  <c r="L670" i="17"/>
  <c r="J671" i="17"/>
  <c r="O671" i="17" s="1"/>
  <c r="K671" i="17"/>
  <c r="L671" i="17"/>
  <c r="J672" i="17"/>
  <c r="O672" i="17" s="1"/>
  <c r="K672" i="17"/>
  <c r="L672" i="17"/>
  <c r="M672" i="17" s="1"/>
  <c r="J673" i="17"/>
  <c r="K673" i="17"/>
  <c r="L673" i="17"/>
  <c r="M673" i="17" s="1"/>
  <c r="J674" i="17"/>
  <c r="O674" i="17" s="1"/>
  <c r="K674" i="17"/>
  <c r="L674" i="17"/>
  <c r="J675" i="17"/>
  <c r="O675" i="17" s="1"/>
  <c r="K675" i="17"/>
  <c r="L675" i="17"/>
  <c r="M675" i="17" s="1"/>
  <c r="J676" i="17"/>
  <c r="K676" i="17"/>
  <c r="L676" i="17"/>
  <c r="M676" i="17" s="1"/>
  <c r="J677" i="17"/>
  <c r="O677" i="17" s="1"/>
  <c r="K677" i="17"/>
  <c r="L677" i="17"/>
  <c r="J678" i="17"/>
  <c r="K678" i="17"/>
  <c r="L678" i="17"/>
  <c r="M678" i="17" s="1"/>
  <c r="J679" i="17"/>
  <c r="O679" i="17" s="1"/>
  <c r="K679" i="17"/>
  <c r="L679" i="17"/>
  <c r="J680" i="17"/>
  <c r="O680" i="17" s="1"/>
  <c r="K680" i="17"/>
  <c r="L680" i="17"/>
  <c r="M680" i="17" s="1"/>
  <c r="J681" i="17"/>
  <c r="O681" i="17" s="1"/>
  <c r="K681" i="17"/>
  <c r="L681" i="17"/>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J687" i="17"/>
  <c r="O687" i="17" s="1"/>
  <c r="K687" i="17"/>
  <c r="L687" i="17"/>
  <c r="M687" i="17" s="1"/>
  <c r="J688" i="17"/>
  <c r="O688" i="17" s="1"/>
  <c r="K688" i="17"/>
  <c r="L688" i="17"/>
  <c r="J689" i="17"/>
  <c r="O689" i="17" s="1"/>
  <c r="K689" i="17"/>
  <c r="L689" i="17"/>
  <c r="M689" i="17" s="1"/>
  <c r="J690" i="17"/>
  <c r="O690" i="17" s="1"/>
  <c r="K690" i="17"/>
  <c r="L690" i="17"/>
  <c r="M690" i="17" s="1"/>
  <c r="J691" i="17"/>
  <c r="O691" i="17" s="1"/>
  <c r="K691" i="17"/>
  <c r="L691" i="17"/>
  <c r="J692" i="17"/>
  <c r="O692" i="17" s="1"/>
  <c r="K692" i="17"/>
  <c r="L692" i="17"/>
  <c r="J693" i="17"/>
  <c r="O693" i="17" s="1"/>
  <c r="K693" i="17"/>
  <c r="L693" i="17"/>
  <c r="J694" i="17"/>
  <c r="K694" i="17"/>
  <c r="L694" i="17"/>
  <c r="M694" i="17" s="1"/>
  <c r="J695" i="17"/>
  <c r="O695" i="17" s="1"/>
  <c r="K695" i="17"/>
  <c r="L695" i="17"/>
  <c r="J696" i="17"/>
  <c r="O696" i="17" s="1"/>
  <c r="K696" i="17"/>
  <c r="L696" i="17"/>
  <c r="M696" i="17" s="1"/>
  <c r="J697" i="17"/>
  <c r="O697" i="17" s="1"/>
  <c r="K697" i="17"/>
  <c r="L697" i="17"/>
  <c r="M697" i="17" s="1"/>
  <c r="J698" i="17"/>
  <c r="O698" i="17" s="1"/>
  <c r="K698" i="17"/>
  <c r="L698" i="17"/>
  <c r="J699" i="17"/>
  <c r="O699" i="17" s="1"/>
  <c r="K699" i="17"/>
  <c r="L699" i="17"/>
  <c r="M699" i="17" s="1"/>
  <c r="J700" i="17"/>
  <c r="O700" i="17" s="1"/>
  <c r="K700" i="17"/>
  <c r="L700" i="17"/>
  <c r="M700" i="17" s="1"/>
  <c r="J701" i="17"/>
  <c r="K701" i="17"/>
  <c r="L701" i="17"/>
  <c r="M701" i="17" s="1"/>
  <c r="J702" i="17"/>
  <c r="O702" i="17" s="1"/>
  <c r="K702" i="17"/>
  <c r="L702" i="17"/>
  <c r="J703" i="17"/>
  <c r="O703" i="17" s="1"/>
  <c r="K703" i="17"/>
  <c r="L703" i="17"/>
  <c r="M703" i="17" s="1"/>
  <c r="J704" i="17"/>
  <c r="O704" i="17" s="1"/>
  <c r="K704" i="17"/>
  <c r="L704" i="17"/>
  <c r="M704" i="17" s="1"/>
  <c r="J705" i="17"/>
  <c r="O705" i="17" s="1"/>
  <c r="K705" i="17"/>
  <c r="L705" i="17"/>
  <c r="J706" i="17"/>
  <c r="O706" i="17" s="1"/>
  <c r="K706" i="17"/>
  <c r="L706" i="17"/>
  <c r="J707" i="17"/>
  <c r="O707" i="17" s="1"/>
  <c r="K707" i="17"/>
  <c r="L707" i="17"/>
  <c r="M707" i="17" s="1"/>
  <c r="J708" i="17"/>
  <c r="O708" i="17" s="1"/>
  <c r="K708" i="17"/>
  <c r="L708" i="17"/>
  <c r="M708" i="17" s="1"/>
  <c r="J709" i="17"/>
  <c r="O709" i="17" s="1"/>
  <c r="K709" i="17"/>
  <c r="L709" i="17"/>
  <c r="M709" i="17" s="1"/>
  <c r="J710" i="17"/>
  <c r="K710" i="17"/>
  <c r="L710" i="17"/>
  <c r="M710" i="17" s="1"/>
  <c r="J711" i="17"/>
  <c r="O711" i="17" s="1"/>
  <c r="K711" i="17"/>
  <c r="L711" i="17"/>
  <c r="M711" i="17" s="1"/>
  <c r="J712" i="17"/>
  <c r="O712" i="17" s="1"/>
  <c r="K712" i="17"/>
  <c r="L712" i="17"/>
  <c r="J713" i="17"/>
  <c r="K713" i="17"/>
  <c r="L713" i="17"/>
  <c r="M713" i="17" s="1"/>
  <c r="J714" i="17"/>
  <c r="O714" i="17" s="1"/>
  <c r="K714" i="17"/>
  <c r="L714" i="17"/>
  <c r="M714" i="17" s="1"/>
  <c r="J715" i="17"/>
  <c r="K715" i="17"/>
  <c r="L715" i="17"/>
  <c r="M715" i="17" s="1"/>
  <c r="J716" i="17"/>
  <c r="O716" i="17" s="1"/>
  <c r="K716" i="17"/>
  <c r="L716" i="17"/>
  <c r="J717" i="17"/>
  <c r="O717" i="17" s="1"/>
  <c r="K717" i="17"/>
  <c r="L717" i="17"/>
  <c r="M717" i="17" s="1"/>
  <c r="J718" i="17"/>
  <c r="O718" i="17" s="1"/>
  <c r="K718" i="17"/>
  <c r="L718" i="17"/>
  <c r="M718" i="17" s="1"/>
  <c r="J719" i="17"/>
  <c r="K719" i="17"/>
  <c r="L719" i="17"/>
  <c r="J720" i="17"/>
  <c r="O720" i="17" s="1"/>
  <c r="K720" i="17"/>
  <c r="L720" i="17"/>
  <c r="J721" i="17"/>
  <c r="O721" i="17" s="1"/>
  <c r="K721" i="17"/>
  <c r="L721" i="17"/>
  <c r="J722" i="17"/>
  <c r="K722" i="17"/>
  <c r="L722" i="17"/>
  <c r="M722" i="17" s="1"/>
  <c r="J723" i="17"/>
  <c r="O723" i="17" s="1"/>
  <c r="K723" i="17"/>
  <c r="L723" i="17"/>
  <c r="J724" i="17"/>
  <c r="O724" i="17" s="1"/>
  <c r="K724" i="17"/>
  <c r="L724" i="17"/>
  <c r="J725" i="17"/>
  <c r="O725" i="17" s="1"/>
  <c r="K725" i="17"/>
  <c r="L725" i="17"/>
  <c r="M725" i="17" s="1"/>
  <c r="J726" i="17"/>
  <c r="K726" i="17"/>
  <c r="L726" i="17"/>
  <c r="M726" i="17" s="1"/>
  <c r="J727" i="17"/>
  <c r="O727" i="17" s="1"/>
  <c r="K727" i="17"/>
  <c r="L727" i="17"/>
  <c r="M727" i="17" s="1"/>
  <c r="J728" i="17"/>
  <c r="O728" i="17" s="1"/>
  <c r="K728" i="17"/>
  <c r="L728" i="17"/>
  <c r="J729" i="17"/>
  <c r="O729" i="17" s="1"/>
  <c r="K729" i="17"/>
  <c r="L729" i="17"/>
  <c r="M729" i="17" s="1"/>
  <c r="J730" i="17"/>
  <c r="O730" i="17" s="1"/>
  <c r="K730" i="17"/>
  <c r="L730" i="17"/>
  <c r="J731" i="17"/>
  <c r="O731" i="17" s="1"/>
  <c r="K731" i="17"/>
  <c r="L731" i="17"/>
  <c r="M731" i="17" s="1"/>
  <c r="J732" i="17"/>
  <c r="K732" i="17"/>
  <c r="L732" i="17"/>
  <c r="M732" i="17" s="1"/>
  <c r="J733" i="17"/>
  <c r="O733" i="17" s="1"/>
  <c r="K733" i="17"/>
  <c r="L733" i="17"/>
  <c r="J734" i="17"/>
  <c r="O734" i="17" s="1"/>
  <c r="K734" i="17"/>
  <c r="L734" i="17"/>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K740" i="17"/>
  <c r="L740" i="17"/>
  <c r="J741" i="17"/>
  <c r="O741" i="17" s="1"/>
  <c r="K741" i="17"/>
  <c r="L741" i="17"/>
  <c r="M741" i="17" s="1"/>
  <c r="J742" i="17"/>
  <c r="O742" i="17" s="1"/>
  <c r="K742" i="17"/>
  <c r="L742" i="17"/>
  <c r="J743" i="17"/>
  <c r="K743" i="17"/>
  <c r="L743" i="17"/>
  <c r="M743" i="17" s="1"/>
  <c r="J744" i="17"/>
  <c r="O744" i="17" s="1"/>
  <c r="K744" i="17"/>
  <c r="L744" i="17"/>
  <c r="J745" i="17"/>
  <c r="O745" i="17" s="1"/>
  <c r="K745" i="17"/>
  <c r="L745" i="17"/>
  <c r="M745" i="17" s="1"/>
  <c r="J746" i="17"/>
  <c r="O746" i="17" s="1"/>
  <c r="K746" i="17"/>
  <c r="L746" i="17"/>
  <c r="M746" i="17" s="1"/>
  <c r="J747" i="17"/>
  <c r="K747" i="17"/>
  <c r="L747" i="17"/>
  <c r="J748" i="17"/>
  <c r="O748" i="17" s="1"/>
  <c r="K748" i="17"/>
  <c r="L748" i="17"/>
  <c r="J749" i="17"/>
  <c r="O749" i="17" s="1"/>
  <c r="K749" i="17"/>
  <c r="L749" i="17"/>
  <c r="M749" i="17" s="1"/>
  <c r="J750" i="17"/>
  <c r="O750" i="17" s="1"/>
  <c r="K750" i="17"/>
  <c r="L750" i="17"/>
  <c r="M750" i="17" s="1"/>
  <c r="J751" i="17"/>
  <c r="O751" i="17" s="1"/>
  <c r="K751" i="17"/>
  <c r="L751" i="17"/>
  <c r="J752" i="17"/>
  <c r="O752" i="17" s="1"/>
  <c r="K752" i="17"/>
  <c r="L752" i="17"/>
  <c r="J753" i="17"/>
  <c r="O753" i="17" s="1"/>
  <c r="K753" i="17"/>
  <c r="L753" i="17"/>
  <c r="M753" i="17" s="1"/>
  <c r="J754" i="17"/>
  <c r="K754" i="17"/>
  <c r="L754" i="17"/>
  <c r="M754" i="17" s="1"/>
  <c r="J755" i="17"/>
  <c r="O755" i="17" s="1"/>
  <c r="K755" i="17"/>
  <c r="L755" i="17"/>
  <c r="M755" i="17" s="1"/>
  <c r="J756" i="17"/>
  <c r="O756" i="17" s="1"/>
  <c r="K756" i="17"/>
  <c r="L756" i="17"/>
  <c r="J757" i="17"/>
  <c r="O757" i="17" s="1"/>
  <c r="K757" i="17"/>
  <c r="L757" i="17"/>
  <c r="M757" i="17" s="1"/>
  <c r="J758" i="17"/>
  <c r="O758" i="17" s="1"/>
  <c r="K758" i="17"/>
  <c r="L758" i="17"/>
  <c r="J759" i="17"/>
  <c r="O759" i="17" s="1"/>
  <c r="K759" i="17"/>
  <c r="L759" i="17"/>
  <c r="M759" i="17" s="1"/>
  <c r="J760" i="17"/>
  <c r="O760" i="17" s="1"/>
  <c r="K760" i="17"/>
  <c r="L760" i="17"/>
  <c r="M760" i="17" s="1"/>
  <c r="J761" i="17"/>
  <c r="O761" i="17" s="1"/>
  <c r="K761" i="17"/>
  <c r="L761" i="17"/>
  <c r="J762" i="17"/>
  <c r="K762" i="17"/>
  <c r="L762" i="17"/>
  <c r="M762" i="17" s="1"/>
  <c r="J763" i="17"/>
  <c r="O763" i="17" s="1"/>
  <c r="K763" i="17"/>
  <c r="L763" i="17"/>
  <c r="J764" i="17"/>
  <c r="O764" i="17" s="1"/>
  <c r="K764" i="17"/>
  <c r="L764" i="17"/>
  <c r="M764" i="17" s="1"/>
  <c r="J765" i="17"/>
  <c r="O765" i="17" s="1"/>
  <c r="K765" i="17"/>
  <c r="L765" i="17"/>
  <c r="J766" i="17"/>
  <c r="O766" i="17" s="1"/>
  <c r="K766" i="17"/>
  <c r="L766" i="17"/>
  <c r="J767" i="17"/>
  <c r="O767" i="17" s="1"/>
  <c r="K767" i="17"/>
  <c r="L767" i="17"/>
  <c r="M767" i="17" s="1"/>
  <c r="J768" i="17"/>
  <c r="K768" i="17"/>
  <c r="L768" i="17"/>
  <c r="M768" i="17" s="1"/>
  <c r="J769" i="17"/>
  <c r="O769" i="17" s="1"/>
  <c r="K769" i="17"/>
  <c r="L769" i="17"/>
  <c r="M769" i="17" s="1"/>
  <c r="J770" i="17"/>
  <c r="O770" i="17" s="1"/>
  <c r="K770" i="17"/>
  <c r="L770" i="17"/>
  <c r="J771" i="17"/>
  <c r="O771" i="17" s="1"/>
  <c r="K771" i="17"/>
  <c r="L771" i="17"/>
  <c r="M771" i="17" s="1"/>
  <c r="J772" i="17"/>
  <c r="O772" i="17" s="1"/>
  <c r="K772" i="17"/>
  <c r="L772" i="17"/>
  <c r="J773" i="17"/>
  <c r="O773" i="17" s="1"/>
  <c r="K773" i="17"/>
  <c r="L773" i="17"/>
  <c r="M773" i="17" s="1"/>
  <c r="J774" i="17"/>
  <c r="O774" i="17" s="1"/>
  <c r="K774" i="17"/>
  <c r="L774" i="17"/>
  <c r="M774" i="17" s="1"/>
  <c r="J775" i="17"/>
  <c r="O775" i="17" s="1"/>
  <c r="K775" i="17"/>
  <c r="L775" i="17"/>
  <c r="J776" i="17"/>
  <c r="O776" i="17" s="1"/>
  <c r="K776" i="17"/>
  <c r="L776" i="17"/>
  <c r="J777" i="17"/>
  <c r="K777" i="17"/>
  <c r="L777" i="17"/>
  <c r="J778" i="17"/>
  <c r="O778" i="17" s="1"/>
  <c r="K778" i="17"/>
  <c r="L778" i="17"/>
  <c r="M778" i="17" s="1"/>
  <c r="J779" i="17"/>
  <c r="O779" i="17" s="1"/>
  <c r="K779" i="17"/>
  <c r="L779" i="17"/>
  <c r="M779" i="17" s="1"/>
  <c r="J780" i="17"/>
  <c r="O780" i="17" s="1"/>
  <c r="K780" i="17"/>
  <c r="L780" i="17"/>
  <c r="M780" i="17" s="1"/>
  <c r="J781" i="17"/>
  <c r="K781" i="17"/>
  <c r="L781" i="17"/>
  <c r="M781" i="17" s="1"/>
  <c r="J782" i="17"/>
  <c r="K782" i="17"/>
  <c r="L782" i="17"/>
  <c r="J783" i="17"/>
  <c r="O783" i="17" s="1"/>
  <c r="K783" i="17"/>
  <c r="L783" i="17"/>
  <c r="M783" i="17" s="1"/>
  <c r="J784" i="17"/>
  <c r="O784" i="17" s="1"/>
  <c r="K784" i="17"/>
  <c r="L784" i="17"/>
  <c r="J785" i="17"/>
  <c r="O785" i="17" s="1"/>
  <c r="K785" i="17"/>
  <c r="L785" i="17"/>
  <c r="M785" i="17" s="1"/>
  <c r="J786" i="17"/>
  <c r="O786" i="17" s="1"/>
  <c r="K786" i="17"/>
  <c r="L786" i="17"/>
  <c r="J787" i="17"/>
  <c r="O787" i="17" s="1"/>
  <c r="K787" i="17"/>
  <c r="L787" i="17"/>
  <c r="M787" i="17" s="1"/>
  <c r="J788" i="17"/>
  <c r="O788" i="17" s="1"/>
  <c r="K788" i="17"/>
  <c r="L788" i="17"/>
  <c r="M788" i="17" s="1"/>
  <c r="J789" i="17"/>
  <c r="K789" i="17"/>
  <c r="L789" i="17"/>
  <c r="J790" i="17"/>
  <c r="O790" i="17" s="1"/>
  <c r="K790" i="17"/>
  <c r="L790" i="17"/>
  <c r="M790" i="17" s="1"/>
  <c r="J791" i="17"/>
  <c r="K791" i="17"/>
  <c r="L791" i="17"/>
  <c r="J792" i="17"/>
  <c r="O792" i="17" s="1"/>
  <c r="K792" i="17"/>
  <c r="L792" i="17"/>
  <c r="M792" i="17" s="1"/>
  <c r="J793" i="17"/>
  <c r="O793" i="17" s="1"/>
  <c r="K793" i="17"/>
  <c r="L793" i="17"/>
  <c r="J794" i="17"/>
  <c r="O794" i="17" s="1"/>
  <c r="K794" i="17"/>
  <c r="L794" i="17"/>
  <c r="J795" i="17"/>
  <c r="O795" i="17" s="1"/>
  <c r="K795" i="17"/>
  <c r="L795" i="17"/>
  <c r="M795" i="17" s="1"/>
  <c r="J796" i="17"/>
  <c r="O796" i="17" s="1"/>
  <c r="K796" i="17"/>
  <c r="L796" i="17"/>
  <c r="J797" i="17"/>
  <c r="K797" i="17"/>
  <c r="L797" i="17"/>
  <c r="M797" i="17" s="1"/>
  <c r="J798" i="17"/>
  <c r="O798" i="17" s="1"/>
  <c r="K798" i="17"/>
  <c r="L798" i="17"/>
  <c r="M798" i="17" s="1"/>
  <c r="J799" i="17"/>
  <c r="K799" i="17"/>
  <c r="L799" i="17"/>
  <c r="M799" i="17" s="1"/>
  <c r="J800" i="17"/>
  <c r="O800" i="17" s="1"/>
  <c r="K800" i="17"/>
  <c r="L800" i="17"/>
  <c r="J801" i="17"/>
  <c r="O801" i="17" s="1"/>
  <c r="K801" i="17"/>
  <c r="L801" i="17"/>
  <c r="M801" i="17" s="1"/>
  <c r="J802" i="17"/>
  <c r="O802" i="17" s="1"/>
  <c r="K802" i="17"/>
  <c r="L802" i="17"/>
  <c r="M802" i="17" s="1"/>
  <c r="J803" i="17"/>
  <c r="O803" i="17" s="1"/>
  <c r="K803" i="17"/>
  <c r="L803" i="17"/>
  <c r="J804" i="17"/>
  <c r="O804" i="17" s="1"/>
  <c r="K804" i="17"/>
  <c r="L804" i="17"/>
  <c r="J805" i="17"/>
  <c r="O805" i="17" s="1"/>
  <c r="K805" i="17"/>
  <c r="L805" i="17"/>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J811" i="17"/>
  <c r="O811" i="17" s="1"/>
  <c r="K811" i="17"/>
  <c r="L811" i="17"/>
  <c r="M811" i="17" s="1"/>
  <c r="J812" i="17"/>
  <c r="O812" i="17" s="1"/>
  <c r="K812" i="17"/>
  <c r="L812" i="17"/>
  <c r="J813" i="17"/>
  <c r="O813" i="17" s="1"/>
  <c r="K813" i="17"/>
  <c r="L813" i="17"/>
  <c r="J814" i="17"/>
  <c r="O814" i="17" s="1"/>
  <c r="K814" i="17"/>
  <c r="L814" i="17"/>
  <c r="J815" i="17"/>
  <c r="O815" i="17" s="1"/>
  <c r="K815" i="17"/>
  <c r="L815" i="17"/>
  <c r="M815" i="17" s="1"/>
  <c r="J816" i="17"/>
  <c r="O816" i="17" s="1"/>
  <c r="K816" i="17"/>
  <c r="L816" i="17"/>
  <c r="M816" i="17" s="1"/>
  <c r="J817" i="17"/>
  <c r="O817" i="17" s="1"/>
  <c r="K817" i="17"/>
  <c r="L817" i="17"/>
  <c r="J818" i="17"/>
  <c r="O818" i="17" s="1"/>
  <c r="K818" i="17"/>
  <c r="L818" i="17"/>
  <c r="J819" i="17"/>
  <c r="O819" i="17" s="1"/>
  <c r="K819" i="17"/>
  <c r="L819" i="17"/>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J825" i="17"/>
  <c r="O825" i="17" s="1"/>
  <c r="K825" i="17"/>
  <c r="L825" i="17"/>
  <c r="M825" i="17" s="1"/>
  <c r="J826" i="17"/>
  <c r="O826" i="17" s="1"/>
  <c r="K826" i="17"/>
  <c r="L826" i="17"/>
  <c r="M826" i="17" s="1"/>
  <c r="J827" i="17"/>
  <c r="K827" i="17"/>
  <c r="L827" i="17"/>
  <c r="M827" i="17" s="1"/>
  <c r="J828" i="17"/>
  <c r="O828" i="17" s="1"/>
  <c r="K828" i="17"/>
  <c r="L828" i="17"/>
  <c r="J829" i="17"/>
  <c r="O829" i="17" s="1"/>
  <c r="K829" i="17"/>
  <c r="L829" i="17"/>
  <c r="M829" i="17" s="1"/>
  <c r="J830" i="17"/>
  <c r="O830" i="17" s="1"/>
  <c r="K830" i="17"/>
  <c r="L830" i="17"/>
  <c r="M830" i="17" s="1"/>
  <c r="J831" i="17"/>
  <c r="O831" i="17" s="1"/>
  <c r="K831" i="17"/>
  <c r="L831" i="17"/>
  <c r="J832" i="17"/>
  <c r="K832" i="17"/>
  <c r="L832" i="17"/>
  <c r="M832" i="17" s="1"/>
  <c r="J833" i="17"/>
  <c r="O833" i="17" s="1"/>
  <c r="K833" i="17"/>
  <c r="L833" i="17"/>
  <c r="M833" i="17" s="1"/>
  <c r="J834" i="17"/>
  <c r="O834" i="17" s="1"/>
  <c r="K834" i="17"/>
  <c r="L834" i="17"/>
  <c r="M834" i="17" s="1"/>
  <c r="J835" i="17"/>
  <c r="O835" i="17" s="1"/>
  <c r="K835" i="17"/>
  <c r="L835" i="17"/>
  <c r="J836" i="17"/>
  <c r="O836" i="17" s="1"/>
  <c r="K836" i="17"/>
  <c r="L836" i="17"/>
  <c r="M836" i="17" s="1"/>
  <c r="J837" i="17"/>
  <c r="O837" i="17" s="1"/>
  <c r="K837" i="17"/>
  <c r="L837" i="17"/>
  <c r="M837" i="17" s="1"/>
  <c r="J838" i="17"/>
  <c r="O838" i="17" s="1"/>
  <c r="K838" i="17"/>
  <c r="L838" i="17"/>
  <c r="J839" i="17"/>
  <c r="O839" i="17" s="1"/>
  <c r="K839" i="17"/>
  <c r="L839" i="17"/>
  <c r="M839" i="17" s="1"/>
  <c r="J840" i="17"/>
  <c r="O840" i="17" s="1"/>
  <c r="K840" i="17"/>
  <c r="L840" i="17"/>
  <c r="J841" i="17"/>
  <c r="K841" i="17"/>
  <c r="L841" i="17"/>
  <c r="M841" i="17" s="1"/>
  <c r="J842" i="17"/>
  <c r="O842" i="17" s="1"/>
  <c r="K842" i="17"/>
  <c r="L842" i="17"/>
  <c r="J843" i="17"/>
  <c r="O843" i="17" s="1"/>
  <c r="K843" i="17"/>
  <c r="L843" i="17"/>
  <c r="M843" i="17" s="1"/>
  <c r="J844" i="17"/>
  <c r="O844" i="17" s="1"/>
  <c r="K844" i="17"/>
  <c r="L844" i="17"/>
  <c r="M844" i="17" s="1"/>
  <c r="J845" i="17"/>
  <c r="O845" i="17" s="1"/>
  <c r="K845" i="17"/>
  <c r="L845" i="17"/>
  <c r="J846" i="17"/>
  <c r="O846" i="17" s="1"/>
  <c r="K846" i="17"/>
  <c r="L846" i="17"/>
  <c r="J847" i="17"/>
  <c r="K847" i="17"/>
  <c r="L847" i="17"/>
  <c r="J848" i="17"/>
  <c r="K848" i="17"/>
  <c r="L848" i="17"/>
  <c r="M848" i="17" s="1"/>
  <c r="J849" i="17"/>
  <c r="O849" i="17" s="1"/>
  <c r="K849" i="17"/>
  <c r="L849" i="17"/>
  <c r="J850" i="17"/>
  <c r="O850" i="17" s="1"/>
  <c r="K850" i="17"/>
  <c r="L850" i="17"/>
  <c r="M850" i="17" s="1"/>
  <c r="J851" i="17"/>
  <c r="O851" i="17" s="1"/>
  <c r="K851" i="17"/>
  <c r="L851" i="17"/>
  <c r="M851" i="17" s="1"/>
  <c r="J852" i="17"/>
  <c r="K852" i="17"/>
  <c r="L852" i="17"/>
  <c r="M852" i="17" s="1"/>
  <c r="J853" i="17"/>
  <c r="O853" i="17" s="1"/>
  <c r="K853" i="17"/>
  <c r="L853" i="17"/>
  <c r="M853" i="17" s="1"/>
  <c r="J854" i="17"/>
  <c r="O854" i="17" s="1"/>
  <c r="K854" i="17"/>
  <c r="L854" i="17"/>
  <c r="J855" i="17"/>
  <c r="O855" i="17" s="1"/>
  <c r="K855" i="17"/>
  <c r="L855" i="17"/>
  <c r="M855" i="17" s="1"/>
  <c r="J856" i="17"/>
  <c r="O856" i="17" s="1"/>
  <c r="K856" i="17"/>
  <c r="L856" i="17"/>
  <c r="J857" i="17"/>
  <c r="O857" i="17" s="1"/>
  <c r="K857" i="17"/>
  <c r="L857" i="17"/>
  <c r="M857" i="17" s="1"/>
  <c r="J858" i="17"/>
  <c r="O858" i="17" s="1"/>
  <c r="K858" i="17"/>
  <c r="L858" i="17"/>
  <c r="M858" i="17" s="1"/>
  <c r="J859" i="17"/>
  <c r="O859" i="17" s="1"/>
  <c r="K859" i="17"/>
  <c r="L859" i="17"/>
  <c r="J860" i="17"/>
  <c r="O860" i="17" s="1"/>
  <c r="K860" i="17"/>
  <c r="L860" i="17"/>
  <c r="M860" i="17" s="1"/>
  <c r="J861" i="17"/>
  <c r="O861" i="17" s="1"/>
  <c r="K861" i="17"/>
  <c r="L861" i="17"/>
  <c r="M861" i="17" s="1"/>
  <c r="J862" i="17"/>
  <c r="K862" i="17"/>
  <c r="L862" i="17"/>
  <c r="M862" i="17" s="1"/>
  <c r="J863" i="17"/>
  <c r="O863" i="17" s="1"/>
  <c r="K863" i="17"/>
  <c r="L863" i="17"/>
  <c r="J864" i="17"/>
  <c r="O864" i="17" s="1"/>
  <c r="K864" i="17"/>
  <c r="L864" i="17"/>
  <c r="M864" i="17" s="1"/>
  <c r="J865" i="17"/>
  <c r="O865" i="17" s="1"/>
  <c r="K865" i="17"/>
  <c r="L865" i="17"/>
  <c r="M865" i="17" s="1"/>
  <c r="J866" i="17"/>
  <c r="O866" i="17" s="1"/>
  <c r="K866" i="17"/>
  <c r="L866" i="17"/>
  <c r="J867" i="17"/>
  <c r="O867" i="17" s="1"/>
  <c r="K867" i="17"/>
  <c r="L867" i="17"/>
  <c r="J868" i="17"/>
  <c r="O868" i="17" s="1"/>
  <c r="K868" i="17"/>
  <c r="L868" i="17"/>
  <c r="M868" i="17" s="1"/>
  <c r="J869" i="17"/>
  <c r="O869" i="17" s="1"/>
  <c r="K869" i="17"/>
  <c r="L869" i="17"/>
  <c r="M869" i="17" s="1"/>
  <c r="J870" i="17"/>
  <c r="O870" i="17" s="1"/>
  <c r="K870" i="17"/>
  <c r="L870" i="17"/>
  <c r="J871" i="17"/>
  <c r="O871" i="17" s="1"/>
  <c r="K871" i="17"/>
  <c r="L871" i="17"/>
  <c r="M871" i="17" s="1"/>
  <c r="J872" i="17"/>
  <c r="O872" i="17" s="1"/>
  <c r="K872" i="17"/>
  <c r="L872" i="17"/>
  <c r="M872" i="17" s="1"/>
  <c r="J873" i="17"/>
  <c r="O873" i="17" s="1"/>
  <c r="K873" i="17"/>
  <c r="L873" i="17"/>
  <c r="J874" i="17"/>
  <c r="O874" i="17" s="1"/>
  <c r="K874" i="17"/>
  <c r="L874" i="17"/>
  <c r="M874" i="17" s="1"/>
  <c r="J875" i="17"/>
  <c r="O875" i="17" s="1"/>
  <c r="K875" i="17"/>
  <c r="L875" i="17"/>
  <c r="J876" i="17"/>
  <c r="K876" i="17"/>
  <c r="L876" i="17"/>
  <c r="M876" i="17" s="1"/>
  <c r="J877" i="17"/>
  <c r="O877" i="17" s="1"/>
  <c r="K877" i="17"/>
  <c r="L877" i="17"/>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J883" i="17"/>
  <c r="K883" i="17"/>
  <c r="L883" i="17"/>
  <c r="M883" i="17" s="1"/>
  <c r="J884" i="17"/>
  <c r="O884" i="17" s="1"/>
  <c r="K884" i="17"/>
  <c r="L884" i="17"/>
  <c r="J885" i="17"/>
  <c r="O885" i="17" s="1"/>
  <c r="K885" i="17"/>
  <c r="L885" i="17"/>
  <c r="M885" i="17" s="1"/>
  <c r="J886" i="17"/>
  <c r="O886" i="17" s="1"/>
  <c r="K886" i="17"/>
  <c r="L886" i="17"/>
  <c r="M886" i="17" s="1"/>
  <c r="J887" i="17"/>
  <c r="O887" i="17" s="1"/>
  <c r="K887" i="17"/>
  <c r="L887" i="17"/>
  <c r="J888" i="17"/>
  <c r="O888" i="17" s="1"/>
  <c r="K888" i="17"/>
  <c r="L888" i="17"/>
  <c r="J889" i="17"/>
  <c r="O889" i="17" s="1"/>
  <c r="K889" i="17"/>
  <c r="L889" i="17"/>
  <c r="J890" i="17"/>
  <c r="O890" i="17" s="1"/>
  <c r="K890" i="17"/>
  <c r="L890" i="17"/>
  <c r="M890" i="17" s="1"/>
  <c r="J891" i="17"/>
  <c r="O891" i="17" s="1"/>
  <c r="K891" i="17"/>
  <c r="L891" i="17"/>
  <c r="J892" i="17"/>
  <c r="O892" i="17" s="1"/>
  <c r="K892" i="17"/>
  <c r="L892" i="17"/>
  <c r="M892" i="17" s="1"/>
  <c r="J893" i="17"/>
  <c r="O893" i="17" s="1"/>
  <c r="K893" i="17"/>
  <c r="L893" i="17"/>
  <c r="M893" i="17" s="1"/>
  <c r="J894" i="17"/>
  <c r="K894" i="17"/>
  <c r="L894" i="17"/>
  <c r="J895" i="17"/>
  <c r="O895" i="17" s="1"/>
  <c r="K895" i="17"/>
  <c r="L895" i="17"/>
  <c r="M895" i="17" s="1"/>
  <c r="J896" i="17"/>
  <c r="O896" i="17" s="1"/>
  <c r="K896" i="17"/>
  <c r="L896" i="17"/>
  <c r="M896" i="17" s="1"/>
  <c r="J897" i="17"/>
  <c r="O897" i="17" s="1"/>
  <c r="K897" i="17"/>
  <c r="L897" i="17"/>
  <c r="M897" i="17" s="1"/>
  <c r="J898" i="17"/>
  <c r="O898" i="17" s="1"/>
  <c r="K898" i="17"/>
  <c r="L898" i="17"/>
  <c r="J899" i="17"/>
  <c r="O899" i="17" s="1"/>
  <c r="K899" i="17"/>
  <c r="L899" i="17"/>
  <c r="M899" i="17" s="1"/>
  <c r="J900" i="17"/>
  <c r="O900" i="17" s="1"/>
  <c r="K900" i="17"/>
  <c r="L900" i="17"/>
  <c r="M900" i="17" s="1"/>
  <c r="J901" i="17"/>
  <c r="O901" i="17" s="1"/>
  <c r="K901" i="17"/>
  <c r="L901" i="17"/>
  <c r="J902" i="17"/>
  <c r="K902" i="17"/>
  <c r="L902" i="17"/>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J909" i="17"/>
  <c r="O909" i="17" s="1"/>
  <c r="K909" i="17"/>
  <c r="L909" i="17"/>
  <c r="M909" i="17" s="1"/>
  <c r="J910" i="17"/>
  <c r="O910" i="17" s="1"/>
  <c r="K910" i="17"/>
  <c r="L910" i="17"/>
  <c r="M910" i="17" s="1"/>
  <c r="J911" i="17"/>
  <c r="O911" i="17" s="1"/>
  <c r="K911" i="17"/>
  <c r="L911" i="17"/>
  <c r="M911" i="17" s="1"/>
  <c r="J912" i="17"/>
  <c r="O912" i="17" s="1"/>
  <c r="K912" i="17"/>
  <c r="L912" i="17"/>
  <c r="J913" i="17"/>
  <c r="K913" i="17"/>
  <c r="L913" i="17"/>
  <c r="M913" i="17" s="1"/>
  <c r="J914" i="17"/>
  <c r="O914" i="17" s="1"/>
  <c r="K914" i="17"/>
  <c r="L914" i="17"/>
  <c r="M914" i="17" s="1"/>
  <c r="J915" i="17"/>
  <c r="O915" i="17" s="1"/>
  <c r="K915" i="17"/>
  <c r="L915" i="17"/>
  <c r="J916" i="17"/>
  <c r="O916" i="17" s="1"/>
  <c r="K916" i="17"/>
  <c r="L916" i="17"/>
  <c r="J917" i="17"/>
  <c r="O917" i="17" s="1"/>
  <c r="K917" i="17"/>
  <c r="L917" i="17"/>
  <c r="J918" i="17"/>
  <c r="O918" i="17" s="1"/>
  <c r="K918" i="17"/>
  <c r="L918" i="17"/>
  <c r="M918" i="17" s="1"/>
  <c r="J919" i="17"/>
  <c r="O919" i="17" s="1"/>
  <c r="K919" i="17"/>
  <c r="L919" i="17"/>
  <c r="J920" i="17"/>
  <c r="O920" i="17" s="1"/>
  <c r="K920" i="17"/>
  <c r="L920" i="17"/>
  <c r="J921" i="17"/>
  <c r="O921" i="17" s="1"/>
  <c r="K921" i="17"/>
  <c r="L921" i="17"/>
  <c r="M921" i="17" s="1"/>
  <c r="J922" i="17"/>
  <c r="K922" i="17"/>
  <c r="L922" i="17"/>
  <c r="M922" i="17" s="1"/>
  <c r="J923" i="17"/>
  <c r="O923" i="17" s="1"/>
  <c r="K923" i="17"/>
  <c r="L923" i="17"/>
  <c r="M923" i="17" s="1"/>
  <c r="J924" i="17"/>
  <c r="O924" i="17" s="1"/>
  <c r="K924" i="17"/>
  <c r="L924" i="17"/>
  <c r="J925" i="17"/>
  <c r="O925" i="17" s="1"/>
  <c r="K925" i="17"/>
  <c r="L925" i="17"/>
  <c r="M925" i="17" s="1"/>
  <c r="J926" i="17"/>
  <c r="O926" i="17" s="1"/>
  <c r="K926" i="17"/>
  <c r="L926" i="17"/>
  <c r="J927" i="17"/>
  <c r="O927" i="17" s="1"/>
  <c r="K927" i="17"/>
  <c r="L927" i="17"/>
  <c r="M927" i="17" s="1"/>
  <c r="J928" i="17"/>
  <c r="O928" i="17" s="1"/>
  <c r="K928" i="17"/>
  <c r="L928" i="17"/>
  <c r="M928" i="17" s="1"/>
  <c r="J929" i="17"/>
  <c r="K929" i="17"/>
  <c r="L929" i="17"/>
  <c r="J930" i="17"/>
  <c r="O930" i="17" s="1"/>
  <c r="K930" i="17"/>
  <c r="L930" i="17"/>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K935" i="17"/>
  <c r="L935" i="17"/>
  <c r="M935" i="17" s="1"/>
  <c r="J936" i="17"/>
  <c r="O936" i="17" s="1"/>
  <c r="K936" i="17"/>
  <c r="L936" i="17"/>
  <c r="J937" i="17"/>
  <c r="O937" i="17" s="1"/>
  <c r="K937" i="17"/>
  <c r="L937" i="17"/>
  <c r="M937" i="17" s="1"/>
  <c r="J938" i="17"/>
  <c r="O938" i="17" s="1"/>
  <c r="K938" i="17"/>
  <c r="L938" i="17"/>
  <c r="J939" i="17"/>
  <c r="K939" i="17"/>
  <c r="L939" i="17"/>
  <c r="M939" i="17" s="1"/>
  <c r="J940" i="17"/>
  <c r="O940" i="17" s="1"/>
  <c r="K940" i="17"/>
  <c r="L940" i="17"/>
  <c r="J941" i="17"/>
  <c r="O941" i="17" s="1"/>
  <c r="K941" i="17"/>
  <c r="L941" i="17"/>
  <c r="M941" i="17" s="1"/>
  <c r="J942" i="17"/>
  <c r="O942" i="17" s="1"/>
  <c r="K942" i="17"/>
  <c r="L942" i="17"/>
  <c r="M942" i="17" s="1"/>
  <c r="J943" i="17"/>
  <c r="K943" i="17"/>
  <c r="L943" i="17"/>
  <c r="J944" i="17"/>
  <c r="O944" i="17" s="1"/>
  <c r="K944" i="17"/>
  <c r="L944" i="17"/>
  <c r="J945" i="17"/>
  <c r="K945" i="17"/>
  <c r="L945" i="17"/>
  <c r="M945" i="17" s="1"/>
  <c r="J946" i="17"/>
  <c r="O946" i="17" s="1"/>
  <c r="K946" i="17"/>
  <c r="L946" i="17"/>
  <c r="M946" i="17" s="1"/>
  <c r="J947" i="17"/>
  <c r="O947" i="17" s="1"/>
  <c r="K947" i="17"/>
  <c r="L947" i="17"/>
  <c r="J948" i="17"/>
  <c r="O948" i="17" s="1"/>
  <c r="K948" i="17"/>
  <c r="L948" i="17"/>
  <c r="J949" i="17"/>
  <c r="O949" i="17" s="1"/>
  <c r="K949" i="17"/>
  <c r="L949" i="17"/>
  <c r="M949" i="17" s="1"/>
  <c r="J950" i="17"/>
  <c r="O950" i="17" s="1"/>
  <c r="K950" i="17"/>
  <c r="L950" i="17"/>
  <c r="M950" i="17" s="1"/>
  <c r="J951" i="17"/>
  <c r="O951" i="17" s="1"/>
  <c r="K951" i="17"/>
  <c r="L951" i="17"/>
  <c r="M951" i="17" s="1"/>
  <c r="J952" i="17"/>
  <c r="O952" i="17" s="1"/>
  <c r="K952" i="17"/>
  <c r="L952" i="17"/>
  <c r="J953" i="17"/>
  <c r="K953" i="17"/>
  <c r="L953" i="17"/>
  <c r="M953" i="17" s="1"/>
  <c r="J954" i="17"/>
  <c r="O954" i="17" s="1"/>
  <c r="K954" i="17"/>
  <c r="L954" i="17"/>
  <c r="J955" i="17"/>
  <c r="O955" i="17" s="1"/>
  <c r="K955" i="17"/>
  <c r="L955" i="17"/>
  <c r="M955" i="17" s="1"/>
  <c r="J956" i="17"/>
  <c r="O956" i="17" s="1"/>
  <c r="K956" i="17"/>
  <c r="L956" i="17"/>
  <c r="M956" i="17" s="1"/>
  <c r="J957" i="17"/>
  <c r="O957" i="17" s="1"/>
  <c r="K957" i="17"/>
  <c r="L957" i="17"/>
  <c r="J958" i="17"/>
  <c r="O958" i="17" s="1"/>
  <c r="K958" i="17"/>
  <c r="L958" i="17"/>
  <c r="M958" i="17" s="1"/>
  <c r="J959" i="17"/>
  <c r="O959" i="17" s="1"/>
  <c r="K959" i="17"/>
  <c r="L959" i="17"/>
  <c r="J960" i="17"/>
  <c r="K960" i="17"/>
  <c r="L960" i="17"/>
  <c r="M960" i="17" s="1"/>
  <c r="J961" i="17"/>
  <c r="O961" i="17" s="1"/>
  <c r="K961" i="17"/>
  <c r="L961" i="17"/>
  <c r="J962" i="17"/>
  <c r="O962" i="17" s="1"/>
  <c r="K962" i="17"/>
  <c r="L962" i="17"/>
  <c r="J963" i="17"/>
  <c r="O963" i="17" s="1"/>
  <c r="K963" i="17"/>
  <c r="L963" i="17"/>
  <c r="M963" i="17" s="1"/>
  <c r="J964" i="17"/>
  <c r="O964" i="17" s="1"/>
  <c r="K964" i="17"/>
  <c r="L964" i="17"/>
  <c r="M964" i="17" s="1"/>
  <c r="J965" i="17"/>
  <c r="O965" i="17" s="1"/>
  <c r="K965" i="17"/>
  <c r="L965" i="17"/>
  <c r="M965" i="17" s="1"/>
  <c r="J966" i="17"/>
  <c r="O966" i="17" s="1"/>
  <c r="K966" i="17"/>
  <c r="L966" i="17"/>
  <c r="J967" i="17"/>
  <c r="K967" i="17"/>
  <c r="L967" i="17"/>
  <c r="M967" i="17" s="1"/>
  <c r="J968" i="17"/>
  <c r="O968" i="17" s="1"/>
  <c r="K968" i="17"/>
  <c r="L968" i="17"/>
  <c r="J969" i="17"/>
  <c r="O969" i="17" s="1"/>
  <c r="K969" i="17"/>
  <c r="L969" i="17"/>
  <c r="M969" i="17" s="1"/>
  <c r="J970" i="17"/>
  <c r="O970" i="17" s="1"/>
  <c r="K970" i="17"/>
  <c r="L970" i="17"/>
  <c r="M970" i="17" s="1"/>
  <c r="J971" i="17"/>
  <c r="O971" i="17" s="1"/>
  <c r="K971" i="17"/>
  <c r="L971" i="17"/>
  <c r="J972" i="17"/>
  <c r="O972" i="17" s="1"/>
  <c r="K972" i="17"/>
  <c r="L972" i="17"/>
  <c r="J973" i="17"/>
  <c r="O973" i="17" s="1"/>
  <c r="K973" i="17"/>
  <c r="L973" i="17"/>
  <c r="J974" i="17"/>
  <c r="K974" i="17"/>
  <c r="L974" i="17"/>
  <c r="M974" i="17" s="1"/>
  <c r="J975" i="17"/>
  <c r="O975" i="17" s="1"/>
  <c r="K975" i="17"/>
  <c r="L975" i="17"/>
  <c r="M975" i="17" s="1"/>
  <c r="J976" i="17"/>
  <c r="O976" i="17" s="1"/>
  <c r="K976" i="17"/>
  <c r="L976" i="17"/>
  <c r="M976" i="17" s="1"/>
  <c r="J977" i="17"/>
  <c r="O977" i="17" s="1"/>
  <c r="K977" i="17"/>
  <c r="L977" i="17"/>
  <c r="M977" i="17" s="1"/>
  <c r="J978" i="17"/>
  <c r="K978" i="17"/>
  <c r="L978" i="17"/>
  <c r="J979" i="17"/>
  <c r="O979" i="17" s="1"/>
  <c r="K979" i="17"/>
  <c r="L979" i="17"/>
  <c r="M979" i="17" s="1"/>
  <c r="J980" i="17"/>
  <c r="O980" i="17" s="1"/>
  <c r="K980" i="17"/>
  <c r="L980" i="17"/>
  <c r="J981" i="17"/>
  <c r="O981" i="17" s="1"/>
  <c r="K981" i="17"/>
  <c r="L981" i="17"/>
  <c r="M981" i="17" s="1"/>
  <c r="J982" i="17"/>
  <c r="O982" i="17" s="1"/>
  <c r="K982" i="17"/>
  <c r="L982" i="17"/>
  <c r="J983" i="17"/>
  <c r="O983" i="17" s="1"/>
  <c r="K983" i="17"/>
  <c r="L983" i="17"/>
  <c r="M983" i="17" s="1"/>
  <c r="J984" i="17"/>
  <c r="O984" i="17" s="1"/>
  <c r="K984" i="17"/>
  <c r="L984" i="17"/>
  <c r="M984" i="17" s="1"/>
  <c r="J985" i="17"/>
  <c r="O985" i="17" s="1"/>
  <c r="K985" i="17"/>
  <c r="L985" i="17"/>
  <c r="J986" i="17"/>
  <c r="O986" i="17" s="1"/>
  <c r="K986" i="17"/>
  <c r="L986" i="17"/>
  <c r="M986" i="17" s="1"/>
  <c r="J987" i="17"/>
  <c r="O987" i="17" s="1"/>
  <c r="K987" i="17"/>
  <c r="L987" i="17"/>
  <c r="J988" i="17"/>
  <c r="K988" i="17"/>
  <c r="L988" i="17"/>
  <c r="M988" i="17" s="1"/>
  <c r="J989" i="17"/>
  <c r="O989" i="17" s="1"/>
  <c r="K989" i="17"/>
  <c r="L989" i="17"/>
  <c r="J990" i="17"/>
  <c r="O990" i="17" s="1"/>
  <c r="K990" i="17"/>
  <c r="L990" i="17"/>
  <c r="J991" i="17"/>
  <c r="O991" i="17" s="1"/>
  <c r="K991" i="17"/>
  <c r="L991" i="17"/>
  <c r="M991" i="17" s="1"/>
  <c r="J992" i="17"/>
  <c r="O992" i="17" s="1"/>
  <c r="K992" i="17"/>
  <c r="L992" i="17"/>
  <c r="J993" i="17"/>
  <c r="K993" i="17"/>
  <c r="L993" i="17"/>
  <c r="M993" i="17" s="1"/>
  <c r="J994" i="17"/>
  <c r="O994" i="17" s="1"/>
  <c r="K994" i="17"/>
  <c r="L994" i="17"/>
  <c r="M994" i="17" s="1"/>
  <c r="J995" i="17"/>
  <c r="K995" i="17"/>
  <c r="L995" i="17"/>
  <c r="M995" i="17" s="1"/>
  <c r="J996" i="17"/>
  <c r="O996" i="17" s="1"/>
  <c r="K996" i="17"/>
  <c r="L996" i="17"/>
  <c r="J997" i="17"/>
  <c r="O997" i="17" s="1"/>
  <c r="K997" i="17"/>
  <c r="L997" i="17"/>
  <c r="M997" i="17" s="1"/>
  <c r="J998" i="17"/>
  <c r="O998" i="17" s="1"/>
  <c r="K998" i="17"/>
  <c r="L998" i="17"/>
  <c r="M998" i="17" s="1"/>
  <c r="J999" i="17"/>
  <c r="O999" i="17" s="1"/>
  <c r="K999" i="17"/>
  <c r="L999" i="17"/>
  <c r="J1000" i="17"/>
  <c r="O1000" i="17" s="1"/>
  <c r="K1000" i="17"/>
  <c r="L1000" i="17"/>
  <c r="J1001" i="17"/>
  <c r="O1001" i="17" s="1"/>
  <c r="K1001" i="17"/>
  <c r="L1001" i="17"/>
  <c r="K2" i="17"/>
  <c r="L2" i="17"/>
  <c r="M2" i="17" s="1"/>
  <c r="J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<sst xmlns="http://schemas.openxmlformats.org/spreadsheetml/2006/main" count="11078" uniqueCount="6207">
  <si>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</si>
  <si>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</si>
  <si>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</si>
  <si>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</si>
  <si>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</si>
  <si>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</si>
  <si>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</si>
  <si>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</si>
  <si>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</si>
  <si>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</si>
  <si>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</si>
  <si>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</si>
  <si>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</si>
  <si>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</si>
  <si>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</si>
  <si>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</si>
  <si>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</si>
  <si>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</si>
  <si>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</si>
  <si>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</si>
  <si>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</si>
  <si>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</si>
  <si>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</si>
  <si>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</si>
  <si>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</si>
  <si>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</si>
  <si>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</si>
  <si>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</si>
  <si>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</si>
  <si>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</si>
  <si>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</si>
  <si>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</si>
  <si>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</si>
  <si>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</si>
  <si>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</si>
  <si>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</si>
  <si>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</si>
  <si>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</si>
  <si>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</si>
  <si>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</si>
  <si>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</si>
  <si>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</si>
  <si>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</si>
  <si>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</si>
  <si>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</si>
  <si>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</si>
  <si>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</si>
  <si>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</si>
  <si>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</si>
  <si>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</si>
  <si>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</si>
  <si>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</si>
  <si>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</si>
  <si>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</si>
  <si>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</si>
  <si>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</si>
  <si>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</si>
  <si>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</si>
  <si>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</si>
  <si>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</si>
  <si>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</si>
  <si>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</si>
  <si>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</si>
  <si>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</si>
  <si>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</si>
  <si>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</si>
  <si>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</si>
  <si>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</si>
  <si>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</si>
  <si>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</si>
  <si>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</si>
  <si>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</si>
  <si>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</si>
  <si>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</si>
  <si>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</si>
  <si>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</si>
  <si>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</si>
  <si>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</si>
  <si>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</si>
  <si>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</si>
  <si>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</si>
  <si>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</si>
  <si>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</si>
  <si>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</si>
  <si>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</si>
  <si>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</si>
  <si>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</si>
  <si>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</si>
  <si>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</si>
  <si>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</si>
  <si>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</si>
  <si>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</si>
  <si>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</si>
  <si>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</si>
  <si>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</si>
  <si>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</si>
  <si>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</si>
  <si>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</si>
  <si>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</si>
  <si>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</si>
  <si>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</si>
  <si>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</si>
  <si>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</si>
  <si>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</si>
  <si>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</si>
  <si>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</si>
  <si>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</si>
  <si>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</si>
  <si>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</si>
  <si>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</si>
  <si>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</si>
  <si>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</si>
  <si>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</si>
  <si>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</si>
  <si>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</si>
  <si>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</si>
  <si>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</si>
  <si>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</si>
  <si>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</si>
  <si>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</si>
  <si>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</si>
  <si>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</si>
  <si>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</si>
  <si>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</si>
  <si>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</si>
  <si>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</si>
  <si>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</si>
  <si>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</si>
  <si>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</si>
  <si>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</si>
  <si>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</si>
  <si>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</si>
  <si>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</si>
  <si>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</si>
  <si>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</si>
  <si>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</si>
  <si>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</si>
  <si>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</si>
  <si>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</si>
  <si>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</si>
  <si>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</si>
  <si>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</si>
  <si>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</si>
  <si>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</si>
  <si>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</si>
  <si>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</si>
  <si>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</si>
  <si>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</si>
  <si>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</si>
  <si>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</si>
  <si>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</si>
  <si>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</si>
  <si>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</si>
  <si>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</si>
  <si>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</si>
  <si>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</si>
  <si>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</si>
  <si>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</si>
  <si>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</si>
  <si>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</si>
  <si>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</si>
  <si>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</si>
  <si>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</si>
  <si>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</si>
  <si>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</si>
  <si>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</si>
  <si>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</si>
  <si>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</si>
  <si>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</si>
  <si>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</si>
  <si>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</si>
  <si>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</si>
  <si>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</si>
  <si>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</si>
  <si>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</si>
  <si>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</si>
  <si>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</si>
  <si>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</si>
  <si>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</si>
  <si>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</si>
  <si>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</si>
  <si>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</si>
  <si>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</si>
  <si>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</si>
  <si>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</si>
  <si>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</si>
  <si>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</si>
  <si>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</si>
  <si>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</si>
  <si>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</si>
  <si>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</si>
  <si>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</si>
  <si>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</si>
  <si>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</si>
  <si>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</si>
  <si>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</si>
  <si>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</si>
  <si>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</si>
  <si>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</si>
  <si>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</si>
  <si>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</si>
  <si>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</si>
  <si>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</si>
  <si>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</si>
  <si>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</si>
  <si>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</si>
  <si>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</si>
  <si>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</si>
  <si>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</si>
  <si>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</si>
  <si>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</si>
  <si>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</si>
  <si>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</si>
  <si>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</si>
  <si>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</si>
  <si>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</si>
  <si>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</si>
  <si>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</si>
  <si>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</si>
  <si>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</si>
  <si>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</si>
  <si>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</si>
  <si>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</si>
  <si>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</si>
  <si>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</si>
  <si>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</si>
  <si>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</si>
  <si>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</si>
  <si>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</si>
  <si>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</si>
  <si>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</si>
  <si>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</si>
  <si>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</si>
  <si>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</si>
  <si>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</si>
  <si>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</si>
  <si>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</si>
  <si>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</si>
  <si>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</si>
  <si>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</si>
  <si>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</si>
  <si>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</si>
  <si>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</si>
  <si>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</si>
  <si>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</si>
  <si>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</si>
  <si>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</si>
  <si>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</si>
  <si>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</si>
  <si>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</si>
  <si>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</si>
  <si>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</si>
  <si>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</si>
  <si>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</si>
  <si>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</si>
  <si>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</si>
  <si>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</si>
  <si>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</si>
  <si>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</si>
  <si>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</si>
  <si>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</si>
  <si>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</si>
  <si>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</si>
  <si>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</si>
  <si>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</si>
  <si>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</si>
  <si>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</si>
  <si>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</si>
  <si>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</si>
  <si>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</si>
  <si>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</si>
  <si>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</si>
  <si>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</si>
  <si>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</si>
  <si>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</si>
  <si>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</si>
  <si>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</si>
  <si>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</si>
  <si>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</si>
  <si>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</si>
  <si>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</si>
  <si>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</si>
  <si>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</si>
  <si>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</si>
  <si>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</si>
  <si>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</si>
  <si>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</si>
  <si>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</si>
  <si>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</si>
  <si>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</si>
  <si>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</si>
  <si>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</si>
  <si>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</si>
  <si>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</si>
  <si>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</si>
  <si>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</si>
  <si>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</si>
  <si>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</si>
  <si>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</si>
  <si>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</si>
  <si>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</si>
  <si>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</si>
  <si>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</si>
  <si>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</si>
  <si>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</si>
  <si>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</si>
  <si>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</si>
  <si>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</si>
  <si>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</si>
  <si>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</si>
  <si>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</si>
  <si>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</si>
  <si>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</si>
  <si>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</si>
  <si>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</si>
  <si>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</si>
  <si>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</si>
  <si>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</si>
  <si>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</si>
  <si>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</si>
  <si>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</si>
  <si>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</si>
  <si>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</si>
  <si>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</si>
  <si>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</si>
  <si>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</si>
  <si>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</si>
  <si>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</si>
  <si>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</si>
  <si>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</si>
  <si>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</si>
  <si>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</si>
  <si>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</si>
  <si>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</si>
  <si>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</si>
  <si>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</si>
  <si>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</si>
  <si>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</si>
  <si>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</si>
  <si>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</si>
  <si>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</si>
  <si>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</si>
  <si>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</si>
  <si>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</si>
  <si>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</si>
  <si>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</si>
  <si>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</si>
  <si>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</si>
  <si>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</si>
  <si>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</si>
  <si>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</si>
  <si>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</si>
  <si>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</si>
  <si>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</si>
  <si>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</si>
  <si>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</si>
  <si>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</si>
  <si>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</si>
  <si>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</si>
  <si>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</si>
  <si>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</si>
  <si>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</si>
  <si>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</si>
  <si>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</si>
  <si>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</si>
  <si>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</si>
  <si>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</si>
  <si>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</si>
  <si>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</si>
  <si>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</si>
  <si>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</si>
  <si>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</si>
  <si>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</si>
  <si>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</si>
  <si>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</si>
  <si>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</si>
  <si>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</si>
  <si>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</si>
  <si>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</si>
  <si>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</si>
  <si>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</si>
  <si>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</si>
  <si>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</si>
  <si>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</si>
  <si>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</si>
  <si>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</si>
  <si>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</si>
  <si>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</si>
  <si>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</si>
  <si>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</si>
  <si>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</si>
  <si>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</si>
  <si>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</si>
  <si>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</si>
  <si>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</si>
  <si>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</si>
  <si>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</si>
  <si>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</si>
  <si>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</si>
  <si>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</si>
  <si>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</si>
  <si>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</si>
  <si>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</si>
  <si>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</si>
  <si>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</si>
  <si>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</si>
  <si>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</si>
  <si>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</si>
  <si>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</si>
  <si>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</si>
  <si>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</si>
  <si>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</si>
  <si>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</si>
  <si>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</si>
  <si>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</si>
  <si>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</si>
  <si>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</si>
  <si>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</si>
  <si>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</si>
  <si>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</si>
  <si>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</si>
  <si>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</si>
  <si>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</si>
  <si>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</si>
  <si>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</si>
  <si>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</si>
  <si>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</si>
  <si>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</si>
  <si>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</si>
  <si>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</si>
  <si>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</si>
  <si>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</si>
  <si>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</si>
  <si>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</si>
  <si>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</si>
  <si>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</si>
  <si>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</si>
  <si>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</si>
  <si>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</si>
  <si>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</si>
  <si>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</si>
  <si>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</si>
  <si>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</si>
  <si>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</si>
  <si>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</si>
  <si>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</si>
  <si>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</si>
  <si>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</si>
  <si>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</si>
  <si>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</si>
  <si>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</si>
  <si>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</si>
  <si>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</si>
  <si>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</si>
  <si>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</si>
  <si>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</si>
  <si>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</si>
  <si>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</si>
  <si>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</si>
  <si>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</si>
  <si>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</si>
  <si>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</si>
  <si>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</si>
  <si>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</si>
  <si>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</si>
  <si>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</si>
  <si>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</si>
  <si>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</si>
  <si>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</si>
  <si>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</si>
  <si>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</si>
  <si>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</si>
  <si>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</si>
  <si>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</si>
  <si>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</si>
  <si>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</si>
  <si>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</si>
  <si>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</si>
  <si>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</si>
  <si>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</si>
  <si>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</si>
  <si>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</si>
  <si>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</si>
  <si>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</si>
  <si>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</si>
  <si>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</si>
  <si>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</si>
  <si>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</si>
  <si>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</si>
  <si>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</si>
  <si>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</si>
  <si>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</si>
  <si>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</si>
  <si>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</si>
  <si>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</si>
  <si>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</si>
  <si>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</si>
  <si>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</si>
  <si>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</si>
  <si>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</si>
  <si>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</si>
  <si>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</si>
  <si>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</si>
  <si>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</si>
  <si>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</si>
  <si>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</si>
  <si>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</si>
  <si>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</si>
  <si>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</si>
  <si>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</si>
  <si>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</si>
  <si>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</si>
  <si>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</si>
  <si>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</si>
  <si>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</si>
  <si>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</si>
  <si>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</si>
  <si>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</si>
  <si>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</si>
  <si>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</si>
  <si>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</si>
  <si>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</si>
  <si>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</si>
  <si>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</si>
  <si>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</si>
  <si>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</si>
  <si>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</si>
  <si>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</si>
  <si>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</si>
  <si>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</si>
  <si>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</si>
  <si>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</si>
  <si>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</si>
  <si>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</si>
  <si>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</si>
  <si>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</si>
  <si>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</si>
  <si>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</si>
  <si>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</si>
  <si>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</si>
  <si>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</si>
  <si>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</si>
  <si>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</si>
  <si>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</si>
  <si>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</si>
  <si>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</si>
  <si>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</si>
  <si>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</si>
  <si>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</si>
  <si>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</si>
  <si>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</si>
  <si>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</si>
  <si>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</si>
  <si>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</si>
  <si>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</si>
  <si>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</si>
  <si>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</si>
  <si>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</si>
  <si>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</si>
  <si>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</si>
  <si>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</si>
  <si>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</si>
  <si>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</si>
  <si>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</si>
  <si>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</si>
  <si>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</si>
  <si>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</si>
  <si>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</si>
  <si>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</si>
  <si>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</si>
  <si>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</si>
  <si>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</si>
  <si>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</si>
  <si>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</si>
  <si>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</si>
  <si>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</si>
  <si>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</si>
  <si>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</si>
  <si>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</si>
  <si>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</si>
  <si>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</si>
  <si>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</si>
  <si>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</si>
  <si>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</si>
  <si>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</si>
  <si>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</si>
  <si>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</si>
  <si>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</si>
  <si>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</si>
  <si>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</si>
  <si>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</si>
  <si>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</si>
  <si>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</si>
  <si>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</si>
  <si>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</si>
  <si>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</si>
  <si>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</si>
  <si>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</si>
  <si>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</si>
  <si>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</si>
  <si>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</si>
  <si>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</si>
  <si>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</si>
  <si>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</si>
  <si>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</si>
  <si>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</si>
  <si>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</si>
  <si>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</si>
  <si>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</si>
  <si>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</si>
  <si>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</si>
  <si>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</si>
  <si>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</si>
  <si>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</si>
  <si>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</si>
  <si>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</si>
  <si>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</si>
  <si>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</si>
  <si>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</si>
  <si>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</si>
  <si>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</si>
  <si>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</si>
  <si>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</si>
  <si>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</si>
  <si>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</si>
  <si>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</si>
  <si>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</si>
  <si>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</si>
  <si>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</si>
  <si>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</si>
  <si>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</si>
  <si>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</si>
  <si>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</si>
  <si>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</si>
  <si>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</si>
  <si>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</si>
  <si>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</si>
  <si>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</si>
  <si>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</si>
  <si>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</si>
  <si>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</si>
  <si>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</si>
  <si>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</si>
  <si>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</si>
  <si>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</si>
  <si>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</si>
  <si>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</si>
  <si>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</si>
  <si>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</si>
  <si>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</si>
  <si>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</si>
  <si>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</si>
  <si>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</si>
  <si>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</si>
  <si>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</si>
  <si>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</si>
  <si>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</si>
  <si>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</si>
  <si>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</si>
  <si>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</si>
  <si>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</si>
  <si>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</si>
  <si>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</si>
  <si>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</si>
  <si>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</si>
  <si>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</si>
  <si>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</si>
  <si>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</si>
  <si>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</si>
  <si>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</si>
  <si>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</si>
  <si>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</si>
  <si>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</si>
  <si>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</si>
  <si>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</si>
  <si>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</si>
  <si>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</si>
  <si>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</si>
  <si>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</si>
  <si>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</si>
  <si>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</si>
  <si>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</si>
  <si>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</si>
  <si>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</si>
  <si>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</si>
  <si>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</si>
  <si>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</si>
  <si>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</si>
  <si>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</si>
  <si>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</si>
  <si>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</si>
  <si>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</si>
  <si>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</si>
  <si>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</si>
  <si>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</si>
  <si>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</si>
  <si>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</si>
  <si>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</si>
  <si>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</si>
  <si>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</si>
  <si>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</si>
  <si>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</si>
  <si>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</si>
  <si>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</si>
  <si>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</si>
  <si>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</si>
  <si>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</si>
  <si>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</si>
  <si>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</si>
  <si>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</si>
  <si>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</si>
  <si>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</si>
  <si>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</si>
  <si>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</si>
  <si>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</si>
  <si>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</si>
  <si>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</si>
  <si>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</si>
  <si>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</si>
  <si>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</si>
  <si>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</si>
  <si>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</si>
  <si>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</si>
  <si>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</si>
  <si>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</si>
  <si>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</si>
  <si>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</si>
  <si>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</si>
  <si>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</si>
  <si>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</si>
  <si>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</si>
  <si>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</si>
  <si>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</si>
  <si>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</si>
  <si>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</si>
  <si>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</si>
  <si>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</si>
  <si>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</si>
  <si>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</si>
  <si>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</si>
  <si>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</si>
  <si>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</si>
  <si>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</si>
  <si>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</si>
  <si>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</si>
  <si>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</si>
  <si>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</si>
  <si>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</si>
  <si>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</si>
  <si>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</si>
  <si>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</si>
  <si>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</si>
  <si>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</si>
  <si>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</si>
  <si>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</si>
  <si>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</si>
  <si>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</si>
  <si>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</si>
  <si>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</si>
  <si>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</si>
  <si>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</si>
  <si>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</si>
  <si>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</si>
  <si>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</si>
  <si>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</si>
  <si>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</si>
  <si>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</si>
  <si>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</si>
  <si>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</si>
  <si>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</si>
  <si>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</si>
  <si>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</si>
  <si>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</si>
  <si>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</si>
  <si>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</si>
  <si>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</si>
  <si>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</si>
  <si>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</si>
  <si>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</si>
  <si>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</si>
  <si>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</si>
  <si>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</si>
  <si>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</si>
  <si>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</si>
  <si>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</si>
  <si>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</si>
  <si>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</si>
  <si>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</si>
  <si>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</si>
  <si>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</si>
  <si>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</si>
  <si>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</si>
  <si>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</si>
  <si>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</si>
  <si>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</si>
  <si>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</si>
  <si>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</si>
  <si>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</si>
  <si>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</si>
  <si>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</si>
  <si>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</si>
  <si>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</si>
  <si>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</si>
  <si>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</si>
  <si>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</si>
  <si>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</si>
  <si>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</si>
  <si>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</si>
  <si>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</si>
  <si>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</si>
  <si>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</si>
  <si>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</si>
  <si>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</si>
  <si>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</si>
  <si>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</si>
  <si>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</si>
  <si>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</si>
  <si>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</si>
  <si>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</si>
  <si>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</si>
  <si>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</si>
  <si>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</si>
  <si>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</si>
  <si>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</si>
  <si>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</si>
  <si>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</si>
  <si>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</si>
  <si>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</si>
  <si>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</si>
  <si>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</si>
  <si>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</si>
  <si>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</si>
  <si>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</si>
  <si>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</si>
  <si>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</si>
  <si>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</si>
  <si>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</si>
  <si>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</si>
  <si>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</si>
  <si>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</si>
  <si>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</si>
  <si>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</si>
  <si>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</si>
  <si>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</si>
  <si>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</si>
  <si>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</si>
  <si>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</si>
  <si>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</si>
  <si>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</si>
  <si>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</si>
  <si>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</si>
  <si>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</si>
  <si>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</si>
  <si>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</si>
  <si>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</si>
  <si>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</si>
  <si>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</si>
  <si>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</si>
  <si>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</si>
  <si>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</si>
  <si>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</si>
  <si>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</si>
  <si>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</si>
  <si>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</si>
  <si>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</si>
  <si>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</si>
  <si>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</si>
  <si>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</si>
  <si>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</si>
  <si>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</si>
  <si>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</si>
  <si>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</si>
  <si>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</si>
  <si>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</si>
  <si>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</si>
  <si>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</si>
  <si>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</si>
  <si>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</si>
  <si>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</si>
  <si>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</si>
  <si>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</si>
  <si>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</si>
  <si>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</si>
  <si>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</si>
  <si>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</si>
  <si>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</si>
  <si>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</si>
  <si>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</si>
  <si>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</si>
  <si>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</si>
  <si>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</si>
  <si>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</si>
  <si>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</si>
  <si>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</si>
  <si>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</si>
  <si>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</si>
  <si>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</si>
  <si>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</si>
  <si>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</si>
  <si>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</si>
  <si>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</si>
  <si>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</si>
  <si>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</si>
  <si>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</si>
  <si>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</si>
  <si>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</si>
  <si>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</si>
  <si>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</si>
  <si>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</si>
  <si>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</si>
  <si>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</si>
  <si>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</si>
  <si>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</si>
  <si>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</si>
  <si>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</si>
  <si>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</si>
  <si>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</si>
  <si>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</si>
  <si>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</si>
  <si>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</si>
  <si>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</si>
  <si>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</si>
  <si>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</si>
  <si>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</si>
  <si>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</si>
  <si>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</si>
  <si>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</si>
  <si>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</si>
  <si>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</si>
  <si>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</si>
  <si>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</si>
  <si>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</si>
  <si>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</si>
  <si>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</si>
  <si>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</si>
  <si>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</si>
  <si>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</si>
  <si>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</si>
  <si>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</si>
  <si>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</si>
  <si>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</si>
  <si>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</si>
  <si>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</si>
  <si>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</si>
  <si>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</si>
  <si>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</si>
  <si>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</si>
  <si>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</si>
  <si>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</si>
  <si>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</si>
  <si>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</si>
  <si>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</si>
  <si>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</si>
  <si>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</si>
  <si>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</si>
  <si>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</si>
  <si>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</si>
  <si>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</si>
  <si>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</si>
  <si>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</si>
  <si>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</si>
  <si>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</si>
  <si>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</si>
  <si>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</si>
  <si>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</si>
  <si>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</si>
  <si>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</si>
  <si>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</si>
  <si>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</si>
  <si>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</si>
  <si>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</si>
  <si>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</si>
  <si>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</si>
  <si>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</si>
  <si>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</si>
  <si>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</si>
  <si>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</si>
  <si>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</si>
  <si>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</si>
  <si>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</si>
  <si>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</si>
  <si>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</si>
  <si>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</si>
  <si>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</si>
  <si>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</si>
  <si>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</si>
  <si>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</si>
  <si>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</si>
  <si>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</si>
  <si>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</si>
  <si>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</si>
  <si>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</si>
  <si>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</si>
  <si>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</si>
  <si>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</si>
  <si>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</si>
  <si>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</si>
  <si>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</si>
  <si>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</si>
  <si>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</si>
  <si>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</si>
  <si>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</si>
  <si>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</si>
  <si>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</si>
  <si>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</si>
  <si>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</si>
  <si>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</si>
  <si>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</si>
  <si>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</si>
  <si>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</si>
  <si>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</si>
  <si>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</si>
  <si>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</si>
  <si>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</si>
  <si>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</si>
  <si>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</si>
  <si>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</si>
  <si>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</si>
  <si>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</si>
  <si>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</si>
  <si>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</si>
  <si>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</si>
  <si>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</si>
  <si>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</si>
  <si>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</si>
  <si>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</si>
  <si>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</si>
  <si>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</si>
  <si>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</si>
  <si>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</si>
  <si>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</si>
  <si>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</si>
  <si>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</si>
  <si>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</si>
  <si>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</si>
  <si>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</si>
  <si>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</si>
  <si>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</si>
  <si>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</si>
  <si>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</si>
  <si>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</si>
  <si>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</si>
  <si>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</si>
  <si>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</si>
  <si>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</si>
  <si>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</si>
  <si>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</si>
  <si>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</si>
  <si>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</si>
  <si>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</si>
  <si>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</si>
  <si>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</si>
  <si>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</si>
  <si>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</si>
  <si>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</si>
  <si>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</si>
  <si>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</si>
  <si>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</si>
  <si>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</si>
  <si>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</si>
  <si>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</si>
  <si>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</si>
  <si>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</si>
  <si>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</si>
  <si>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</si>
  <si>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</si>
  <si>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</si>
  <si>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</si>
  <si>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</si>
  <si>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</si>
  <si>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</si>
  <si>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</si>
  <si>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</si>
  <si>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</si>
  <si>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</si>
  <si>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</si>
  <si>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</si>
  <si>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</si>
  <si>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</si>
  <si>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</si>
  <si>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</si>
  <si>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</si>
  <si>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</si>
  <si>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</si>
  <si>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</si>
  <si>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</si>
  <si>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</si>
  <si>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</si>
  <si>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</si>
  <si>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</si>
  <si>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</si>
  <si>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</si>
  <si>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</si>
  <si>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</si>
  <si>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</si>
  <si>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</si>
  <si>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</si>
  <si>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</si>
  <si>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</si>
  <si>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</si>
  <si>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</si>
  <si>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</si>
  <si>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</si>
  <si>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</si>
  <si>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</si>
  <si>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</si>
  <si>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</si>
  <si>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</si>
  <si>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</si>
  <si>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</si>
  <si>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</si>
  <si>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</si>
  <si>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</si>
  <si>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</si>
  <si>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</si>
  <si>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</si>
  <si>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</si>
  <si>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</si>
  <si>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</si>
  <si>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</si>
  <si>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</si>
  <si>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</si>
  <si>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</si>
  <si>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</si>
  <si>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</si>
  <si>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</si>
  <si>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</si>
  <si>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</si>
  <si>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</si>
  <si>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</si>
  <si>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</si>
  <si>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</si>
  <si>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</si>
  <si>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</si>
  <si>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</si>
  <si>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</si>
  <si>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</si>
  <si>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</si>
  <si>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</si>
  <si>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</si>
  <si>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</si>
  <si>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</si>
  <si>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</si>
  <si>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</si>
  <si>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</si>
  <si>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</si>
  <si>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</si>
  <si>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</si>
  <si>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</si>
  <si>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</si>
  <si>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</si>
  <si>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</si>
  <si>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</si>
  <si>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</si>
  <si>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</si>
  <si>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</si>
  <si>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</si>
  <si>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</si>
  <si>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</si>
  <si>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</si>
  <si>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</si>
  <si>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</si>
  <si>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</si>
  <si>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</si>
  <si>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</si>
  <si>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</si>
  <si>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</si>
  <si>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</si>
  <si>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</si>
  <si>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</si>
  <si>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</si>
  <si>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</si>
  <si>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</si>
  <si>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</si>
  <si>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</si>
  <si>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</si>
  <si>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</si>
  <si>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</si>
  <si>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</si>
  <si>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</si>
  <si>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</si>
  <si>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</si>
  <si>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</si>
  <si>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</si>
  <si>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</si>
  <si>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</si>
  <si>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</si>
  <si>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</si>
  <si>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</si>
  <si>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</si>
  <si>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</si>
  <si>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</si>
  <si>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</si>
  <si>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</si>
  <si>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</si>
  <si>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</si>
  <si>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</si>
  <si>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</si>
  <si>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</si>
  <si>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</si>
  <si>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</si>
  <si>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</si>
  <si>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</si>
  <si>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</si>
  <si>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</si>
  <si>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</si>
  <si>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</si>
  <si>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</si>
  <si>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</si>
  <si>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</si>
  <si>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</si>
  <si>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</si>
  <si>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</si>
  <si>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</si>
  <si>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</si>
  <si>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</si>
  <si>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</si>
  <si>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</si>
  <si>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</si>
  <si>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</si>
  <si>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</si>
  <si>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</si>
  <si>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</si>
  <si>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</si>
  <si>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</si>
  <si>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</si>
  <si>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</si>
  <si>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</si>
  <si>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</si>
  <si>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</si>
  <si>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</si>
  <si>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</si>
  <si>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</si>
  <si>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</si>
  <si>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</si>
  <si>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</si>
  <si>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</si>
  <si>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</si>
  <si>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</si>
  <si>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</si>
  <si>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</si>
  <si>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</si>
  <si>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</si>
  <si>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</si>
  <si>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</si>
  <si>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</si>
  <si>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</si>
  <si>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</si>
  <si>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</si>
  <si>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</si>
  <si>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</si>
  <si>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</si>
  <si>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</si>
  <si>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</si>
  <si>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</si>
  <si>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</si>
  <si>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</si>
  <si>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</si>
  <si>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</si>
  <si>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</si>
  <si>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</si>
  <si>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</si>
  <si>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</si>
  <si>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</si>
  <si>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</si>
  <si>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</si>
  <si>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</si>
  <si>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</si>
  <si>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</si>
  <si>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</si>
  <si>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</si>
  <si>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</si>
  <si>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</si>
  <si>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</si>
  <si>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</si>
  <si>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</si>
  <si>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</si>
  <si>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</si>
  <si>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</si>
  <si>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</si>
  <si>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</si>
  <si>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</si>
  <si>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</si>
  <si>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</si>
  <si>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</si>
  <si>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</si>
  <si>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</si>
  <si>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</si>
  <si>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</si>
  <si>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</si>
  <si>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</si>
  <si>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</si>
  <si>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</si>
  <si>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</si>
  <si>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</si>
  <si>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</si>
  <si>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</si>
  <si>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</si>
  <si>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</si>
  <si>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</si>
  <si>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</si>
  <si>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</si>
  <si>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</si>
  <si>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</si>
  <si>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</si>
  <si>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</si>
  <si>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</si>
  <si>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</si>
  <si>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</si>
  <si>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</si>
  <si>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</si>
  <si>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</si>
  <si>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</si>
  <si>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</si>
  <si>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</si>
  <si>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</si>
  <si>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</si>
  <si>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</si>
  <si>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</si>
  <si>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</si>
  <si>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</si>
  <si>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</si>
  <si>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</si>
  <si>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</si>
  <si>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</si>
  <si>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</si>
  <si>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</si>
  <si>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</si>
  <si>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</si>
  <si>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</si>
  <si>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</si>
  <si>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</si>
  <si>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</si>
  <si>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</si>
  <si>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</si>
  <si>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</si>
  <si>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</si>
  <si>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</si>
  <si>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</si>
  <si>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</si>
  <si>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</si>
  <si>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</si>
  <si>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</si>
  <si>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</si>
  <si>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</si>
  <si>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</si>
  <si>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</si>
  <si>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</si>
  <si>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</si>
  <si>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</si>
  <si>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</si>
  <si>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</si>
  <si>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</si>
  <si>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</si>
  <si>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</si>
  <si>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</si>
  <si>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</si>
  <si>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</si>
  <si>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</si>
  <si>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</si>
  <si>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</si>
  <si>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</si>
  <si>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</si>
  <si>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</si>
  <si>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</si>
  <si>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</si>
  <si>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</si>
  <si>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</si>
  <si>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</si>
  <si>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</si>
  <si>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</si>
  <si>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</si>
  <si>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</si>
  <si>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</si>
  <si>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</si>
  <si>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</si>
  <si>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</si>
  <si>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</si>
  <si>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</si>
  <si>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</si>
  <si>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</si>
  <si>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</si>
  <si>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</si>
  <si>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</si>
  <si>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</si>
  <si>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</si>
  <si>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</si>
  <si>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</si>
  <si>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</si>
  <si>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</si>
  <si>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</si>
  <si>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</si>
  <si>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</si>
  <si>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</si>
  <si>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</si>
  <si>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</si>
  <si>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</si>
  <si>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</si>
  <si>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</si>
  <si>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</si>
  <si>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</si>
  <si>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</si>
  <si>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</si>
  <si>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</si>
  <si>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</si>
  <si>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</si>
  <si>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</si>
  <si>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</si>
  <si>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</si>
  <si>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</si>
  <si>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</si>
  <si>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</si>
  <si>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</si>
  <si>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</si>
  <si>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</si>
  <si>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</si>
  <si>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</si>
  <si>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</si>
  <si>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</si>
  <si>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</si>
  <si>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</si>
  <si>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</si>
  <si>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</si>
  <si>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</si>
  <si>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</si>
  <si>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</si>
  <si>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</si>
  <si>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</si>
  <si>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</si>
  <si>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</si>
  <si>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</si>
  <si>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</si>
  <si>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</si>
  <si>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</si>
  <si>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</si>
  <si>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</si>
  <si>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</si>
  <si>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</si>
  <si>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</si>
  <si>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</si>
  <si>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</si>
  <si>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</si>
  <si>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</si>
  <si>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</si>
  <si>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</si>
  <si>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</si>
  <si>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</si>
  <si>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</si>
  <si>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</si>
  <si>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</si>
  <si>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</si>
  <si>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</si>
  <si>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</si>
  <si>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</si>
  <si>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</si>
  <si>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</si>
  <si>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</si>
  <si>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</si>
  <si>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</si>
  <si>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</si>
  <si>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</si>
  <si>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</si>
  <si>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</si>
  <si>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</si>
  <si>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</si>
  <si>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</si>
  <si>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</si>
  <si>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</si>
  <si>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</si>
  <si>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</si>
  <si>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</si>
  <si>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</si>
  <si>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</si>
  <si>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</si>
  <si>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</si>
  <si>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</si>
  <si>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</si>
  <si>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</si>
  <si>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</si>
  <si>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</si>
  <si>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</si>
  <si>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</si>
  <si>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</si>
  <si>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</si>
  <si>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</si>
  <si>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</si>
  <si>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</si>
  <si>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</si>
  <si>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</si>
  <si>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</si>
  <si>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</si>
  <si>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</si>
  <si>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</si>
  <si>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</si>
  <si>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</si>
  <si>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</si>
  <si>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</si>
  <si>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</si>
  <si>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</si>
  <si>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</si>
  <si>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</si>
  <si>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</si>
  <si>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</si>
  <si>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</si>
  <si>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</si>
  <si>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</si>
  <si>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</si>
  <si>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</si>
  <si>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</si>
  <si>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</si>
  <si>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</si>
  <si>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</si>
  <si>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</si>
  <si>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</si>
  <si>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</si>
  <si>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</si>
  <si>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</si>
  <si>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</si>
  <si>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</si>
  <si>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</si>
  <si>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</si>
  <si>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</si>
  <si>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</si>
  <si>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</si>
  <si>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</si>
  <si>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</si>
  <si>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</si>
  <si>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</si>
  <si>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</si>
  <si>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</si>
  <si>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</si>
  <si>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</si>
  <si>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</si>
  <si>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</si>
  <si>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</si>
  <si>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</si>
  <si>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</si>
  <si>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</si>
  <si>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</si>
  <si>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</si>
  <si>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</si>
  <si>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</si>
  <si>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</si>
  <si>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</si>
  <si>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</si>
  <si>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</si>
  <si>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</si>
  <si>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</si>
  <si>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</si>
  <si>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</si>
  <si>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</si>
  <si>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</si>
  <si>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</si>
  <si>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</si>
  <si>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</si>
  <si>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</si>
  <si>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</si>
  <si>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</si>
  <si>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</si>
  <si>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</si>
  <si>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</si>
  <si>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</si>
  <si>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</si>
  <si>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</si>
  <si>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</si>
  <si>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</si>
  <si>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</si>
  <si>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</si>
  <si>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</si>
  <si>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</si>
  <si>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</si>
  <si>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</si>
  <si>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</si>
  <si>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</si>
  <si>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</si>
  <si>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</si>
  <si>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</si>
  <si>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</si>
  <si>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</si>
  <si>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</si>
  <si>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</si>
  <si>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</si>
  <si>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</si>
  <si>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</si>
  <si>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</si>
  <si>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</si>
  <si>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</si>
  <si>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</si>
  <si>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</si>
  <si>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</si>
  <si>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</si>
  <si>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</si>
  <si>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</si>
  <si>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</si>
  <si>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</si>
  <si>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</si>
  <si>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</si>
  <si>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</si>
  <si>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</si>
  <si>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</si>
  <si>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</si>
  <si>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</si>
  <si>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</si>
  <si>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</si>
  <si>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</si>
  <si>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</si>
  <si>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</si>
  <si>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</si>
  <si>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</si>
  <si>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</si>
  <si>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</si>
  <si>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</si>
  <si>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</si>
  <si>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</si>
  <si>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</si>
  <si>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</si>
  <si>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</si>
  <si>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</si>
  <si>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</si>
  <si>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</si>
  <si>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</si>
  <si>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</si>
  <si>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</si>
  <si>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</si>
  <si>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</si>
  <si>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</si>
  <si>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</si>
  <si>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</si>
  <si>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</si>
  <si>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</si>
  <si>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</si>
  <si>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</si>
  <si>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</si>
  <si>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</si>
  <si>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</si>
  <si>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</si>
  <si>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</si>
  <si>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</si>
  <si>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</si>
  <si>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</si>
  <si>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</si>
  <si>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</si>
  <si>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</si>
  <si>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</si>
  <si>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</si>
  <si>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</si>
  <si>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</si>
  <si>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</si>
  <si>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</si>
  <si>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</si>
  <si>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</si>
  <si>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</si>
  <si>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</si>
  <si>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</si>
  <si>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</si>
  <si>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</si>
  <si>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</si>
  <si>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</si>
  <si>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</si>
  <si>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</si>
  <si>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</si>
  <si>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</si>
  <si>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</si>
  <si>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</si>
  <si>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</si>
  <si>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</si>
  <si>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</si>
  <si>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</si>
  <si>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</si>
  <si>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</si>
  <si>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</si>
  <si>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</si>
  <si>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</si>
  <si>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</si>
  <si>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</si>
  <si>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</si>
  <si>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</si>
  <si>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</si>
  <si>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</si>
  <si>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</si>
  <si>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</si>
  <si>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</si>
  <si>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</si>
  <si>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</si>
  <si>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</si>
  <si>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</si>
  <si>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</si>
  <si>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</si>
  <si>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</si>
  <si>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</si>
  <si>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</si>
  <si>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</si>
  <si>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</si>
  <si>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</si>
  <si>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</si>
  <si>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</si>
  <si>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</si>
  <si>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</si>
  <si>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</si>
  <si>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</si>
  <si>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</si>
  <si>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</si>
  <si>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</si>
  <si>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</si>
  <si>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</si>
  <si>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</si>
  <si>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</si>
  <si>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</si>
  <si>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</si>
  <si>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</si>
  <si>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</si>
  <si>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</si>
  <si>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</si>
  <si>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</si>
  <si>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</si>
  <si>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</si>
  <si>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</si>
  <si>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</si>
  <si>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</si>
  <si>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</si>
  <si>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</si>
  <si>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</si>
  <si>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</si>
  <si>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</si>
  <si>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</si>
  <si>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</si>
  <si>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</si>
  <si>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</si>
  <si>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</si>
  <si>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</si>
  <si>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</si>
  <si>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</si>
  <si>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</si>
  <si>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</si>
  <si>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</si>
  <si>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</si>
  <si>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</si>
  <si>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</si>
  <si>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</si>
  <si>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</si>
  <si>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</si>
  <si>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</si>
  <si>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</si>
  <si>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</si>
  <si>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</si>
  <si>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</si>
  <si>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</si>
  <si>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</si>
  <si>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</si>
  <si>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</si>
  <si>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</si>
  <si>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</si>
  <si>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</si>
  <si>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</si>
  <si>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</si>
  <si>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</si>
  <si>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</si>
  <si>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</si>
  <si>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</si>
  <si>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</si>
  <si>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</si>
  <si>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</si>
  <si>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</si>
  <si>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</si>
  <si>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</si>
  <si>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</si>
  <si>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</si>
  <si>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</si>
  <si>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</si>
  <si>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</si>
  <si>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</si>
  <si>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</si>
  <si>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</si>
  <si>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</si>
  <si>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</si>
  <si>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</si>
  <si>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</si>
  <si>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</si>
  <si>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</si>
  <si>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</si>
  <si>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</si>
  <si>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</si>
  <si>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</si>
  <si>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</si>
  <si>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</si>
  <si>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</si>
  <si>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</si>
  <si>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</si>
  <si>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</si>
  <si>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</si>
  <si>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</si>
  <si>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</si>
  <si>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</si>
  <si>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</si>
  <si>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</si>
  <si>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</si>
  <si>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</si>
  <si>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</si>
  <si>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</si>
  <si>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</si>
  <si>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</si>
  <si>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</si>
  <si>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</si>
  <si>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</si>
  <si>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</si>
  <si>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</si>
  <si>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</si>
  <si>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</si>
  <si>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</si>
  <si>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</si>
  <si>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</si>
  <si>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</si>
  <si>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</si>
  <si>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</si>
  <si>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</si>
  <si>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</si>
  <si>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</si>
  <si>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</si>
  <si>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</si>
  <si>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</si>
  <si>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</si>
  <si>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</si>
  <si>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</si>
  <si>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</si>
  <si>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</si>
  <si>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</si>
  <si>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</si>
  <si>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</si>
  <si>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</si>
  <si>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</si>
  <si>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</si>
  <si>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</si>
  <si>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</si>
  <si>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</si>
  <si>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</si>
  <si>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</si>
  <si>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</si>
  <si>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</si>
  <si>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</si>
  <si>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</si>
  <si>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</si>
  <si>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</si>
  <si>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</si>
  <si>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</si>
  <si>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</si>
  <si>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</si>
  <si>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</si>
  <si>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</si>
  <si>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</si>
  <si>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</si>
  <si>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</si>
  <si>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</si>
  <si>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</si>
  <si>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</si>
  <si>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</si>
  <si>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</si>
  <si>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</si>
  <si>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</si>
  <si>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</si>
  <si>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</si>
  <si>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</si>
  <si>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</si>
  <si>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</si>
  <si>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</si>
  <si>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</si>
  <si>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</si>
  <si>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</si>
  <si>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</si>
  <si>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</si>
  <si>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</si>
  <si>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</si>
  <si>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</si>
  <si>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</si>
  <si>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</si>
  <si>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</si>
  <si>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</si>
  <si>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</si>
  <si>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</si>
  <si>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</si>
  <si>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</si>
  <si>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</si>
  <si>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</si>
  <si>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</si>
  <si>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</si>
  <si>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</si>
  <si>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</si>
  <si>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</si>
  <si>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</si>
  <si>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</si>
  <si>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</si>
  <si>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</si>
  <si>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</si>
  <si>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</si>
  <si>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</si>
  <si>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</si>
  <si>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</si>
  <si>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</si>
  <si>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</si>
  <si>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</si>
  <si>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</si>
  <si>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</si>
  <si>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</si>
  <si>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</si>
  <si>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</si>
  <si>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</si>
  <si>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</si>
  <si>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</si>
  <si>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</si>
  <si>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</si>
  <si>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</si>
  <si>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</si>
  <si>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</si>
  <si>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</si>
  <si>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</si>
  <si>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</si>
  <si>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</si>
  <si>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</si>
  <si>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</si>
  <si>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</si>
  <si>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</si>
  <si>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</si>
  <si>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</si>
  <si>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</si>
  <si>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</si>
  <si>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</si>
  <si>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</si>
  <si>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</si>
  <si>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</si>
  <si>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</si>
  <si>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</si>
  <si>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</si>
  <si>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</si>
  <si>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</si>
  <si>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</si>
  <si>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</si>
  <si>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</si>
  <si>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</si>
  <si>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</si>
  <si>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</si>
  <si>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</si>
  <si>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</si>
  <si>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</si>
  <si>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</si>
  <si>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</si>
  <si>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</si>
  <si>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</si>
  <si>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</si>
  <si>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</si>
  <si>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</si>
  <si>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</si>
  <si>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</si>
  <si>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</si>
  <si>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</si>
  <si>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</si>
  <si>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</si>
  <si>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</si>
  <si>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</si>
  <si>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</si>
  <si>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</si>
  <si>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</si>
  <si>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</si>
  <si>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</si>
  <si>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</si>
  <si>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</si>
  <si>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</si>
  <si>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</si>
  <si>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</si>
  <si>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</si>
  <si>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</si>
  <si>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</si>
  <si>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</si>
  <si>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</si>
  <si>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</si>
  <si>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</si>
  <si>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</si>
  <si>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</si>
  <si>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</si>
  <si>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</si>
  <si>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</si>
  <si>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</si>
  <si>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</si>
  <si>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</si>
  <si>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</si>
  <si>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</si>
  <si>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</si>
  <si>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</si>
  <si>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</si>
  <si>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</si>
  <si>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</si>
  <si>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</si>
  <si>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</si>
  <si>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</si>
  <si>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</si>
  <si>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</si>
  <si>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</si>
  <si>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</si>
  <si>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</si>
  <si>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</si>
  <si>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</si>
  <si>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</si>
  <si>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</si>
  <si>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</si>
  <si>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</si>
  <si>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</si>
  <si>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</si>
  <si>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</si>
  <si>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</si>
  <si>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</si>
  <si>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</si>
  <si>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</si>
  <si>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</si>
  <si>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</si>
  <si>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</si>
  <si>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</si>
  <si>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</si>
  <si>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</si>
  <si>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</si>
  <si>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</si>
  <si>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</si>
  <si>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</si>
  <si>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</si>
  <si>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</si>
  <si>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</si>
  <si>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</si>
  <si>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</si>
  <si>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</si>
  <si>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</si>
  <si>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</si>
  <si>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</si>
  <si>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</si>
  <si>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</si>
  <si>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</si>
  <si>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</si>
  <si>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</si>
  <si>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</si>
  <si>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</si>
  <si>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</si>
  <si>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</si>
  <si>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</si>
  <si>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</si>
  <si>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</si>
  <si>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</si>
  <si>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</si>
  <si>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</si>
  <si>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</si>
  <si>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</si>
  <si>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</si>
  <si>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</si>
  <si>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</si>
  <si>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</si>
  <si>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</si>
  <si>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</si>
  <si>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</si>
  <si>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</si>
  <si>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</si>
  <si>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</si>
  <si>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</si>
  <si>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</si>
  <si>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</si>
  <si>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</si>
  <si>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</si>
  <si>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</si>
  <si>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</si>
  <si>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</si>
  <si>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</si>
  <si>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</si>
  <si>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</si>
  <si>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</si>
  <si>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</si>
  <si>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</si>
  <si>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</si>
  <si>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</si>
  <si>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</si>
  <si>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</si>
  <si>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</si>
  <si>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</si>
  <si>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</si>
  <si>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</si>
  <si>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</si>
  <si>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</si>
  <si>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</si>
  <si>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</si>
  <si>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</si>
  <si>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</si>
  <si>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</si>
  <si>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</si>
  <si>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</si>
  <si>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</si>
  <si>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</si>
  <si>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</si>
  <si>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</si>
  <si>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</si>
  <si>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</si>
  <si>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</si>
  <si>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</si>
  <si>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</si>
  <si>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</si>
  <si>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</si>
  <si>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</si>
  <si>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</si>
  <si>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</si>
  <si>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</si>
  <si>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</si>
  <si>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</si>
  <si>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</si>
  <si>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</si>
  <si>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</si>
  <si>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</si>
  <si>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</si>
  <si>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</si>
  <si>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</si>
  <si>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</si>
  <si>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</si>
  <si>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</si>
  <si>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</si>
  <si>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</si>
  <si>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</si>
  <si>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</si>
  <si>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</si>
  <si>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</si>
  <si>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</si>
  <si>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</si>
  <si>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</si>
  <si>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</si>
  <si>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</si>
  <si>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</si>
  <si>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</si>
  <si>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</si>
  <si>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</si>
  <si>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</si>
  <si>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</si>
  <si>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</si>
  <si>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</si>
  <si>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</si>
  <si>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</si>
  <si>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</si>
  <si>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</si>
  <si>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</si>
  <si>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</si>
  <si>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</si>
  <si>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</si>
  <si>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</si>
  <si>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</si>
  <si>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</si>
  <si>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</si>
  <si>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</si>
  <si>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</si>
  <si>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</si>
  <si>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</si>
  <si>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</si>
  <si>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</si>
  <si>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</si>
  <si>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</si>
  <si>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</si>
  <si>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</si>
  <si>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</si>
  <si>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</si>
  <si>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</si>
  <si>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</si>
  <si>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</si>
  <si>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</si>
  <si>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</si>
  <si>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</si>
  <si>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</si>
  <si>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</si>
  <si>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</si>
  <si>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</si>
  <si>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</si>
  <si>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</si>
  <si>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</si>
  <si>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</si>
  <si>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</si>
  <si>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</si>
  <si>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</si>
  <si>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</si>
  <si>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</si>
  <si>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</si>
  <si>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</si>
  <si>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</si>
  <si>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</si>
  <si>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</si>
  <si>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</si>
  <si>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</si>
  <si>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</si>
  <si>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</si>
  <si>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</si>
  <si>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</si>
  <si>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</si>
  <si>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</si>
  <si>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</si>
  <si>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</si>
  <si>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</si>
  <si>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</si>
  <si>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</si>
  <si>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</si>
  <si>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</si>
  <si>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</si>
  <si>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</si>
  <si>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</si>
  <si>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</si>
  <si>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</si>
  <si>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</si>
  <si>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</si>
  <si>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</si>
  <si>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</si>
  <si>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</si>
  <si>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</si>
  <si>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</si>
  <si>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</si>
  <si>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</si>
  <si>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</si>
  <si>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</si>
  <si>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</si>
  <si>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</si>
  <si>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</si>
  <si>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</si>
  <si>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</si>
  <si>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</si>
  <si>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</si>
  <si>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</si>
  <si>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</si>
  <si>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</si>
  <si>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</si>
  <si>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</si>
  <si>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</si>
  <si>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</si>
  <si>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</si>
  <si>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</si>
  <si>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</si>
  <si>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</si>
  <si>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</si>
  <si>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</si>
  <si>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</si>
  <si>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</si>
  <si>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</si>
  <si>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</si>
  <si>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</si>
  <si>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</si>
  <si>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</si>
  <si>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</si>
  <si>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</si>
  <si>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</si>
  <si>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</si>
  <si>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</si>
  <si>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</si>
  <si>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</si>
  <si>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</si>
  <si>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</si>
  <si>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</si>
  <si>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</si>
  <si>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</si>
  <si>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</si>
  <si>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</si>
  <si>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</si>
  <si>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</si>
  <si>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</si>
  <si>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</si>
  <si>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</si>
  <si>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</si>
  <si>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</si>
  <si>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</si>
  <si>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</si>
  <si>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</si>
  <si>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</si>
  <si>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</si>
  <si>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</si>
  <si>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</si>
  <si>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</si>
  <si>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</si>
  <si>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</si>
  <si>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</si>
  <si>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</si>
  <si>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</si>
  <si>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</si>
  <si>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</si>
  <si>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</si>
  <si>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</si>
  <si>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</si>
  <si>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</si>
  <si>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</si>
  <si>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</si>
  <si>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</si>
  <si>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</si>
  <si>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</si>
  <si>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</si>
  <si>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</si>
  <si>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</si>
  <si>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</si>
  <si>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</si>
  <si>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</si>
  <si>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</si>
  <si>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</si>
  <si>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</si>
  <si>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</si>
  <si>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</si>
  <si>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</si>
  <si>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</si>
  <si>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</si>
  <si>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</si>
  <si>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</si>
  <si>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</si>
  <si>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</si>
  <si>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</si>
  <si>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</si>
  <si>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</si>
  <si>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</si>
  <si>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</si>
  <si>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</si>
  <si>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</si>
  <si>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</si>
  <si>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</si>
  <si>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</si>
  <si>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</si>
  <si>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</si>
  <si>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</si>
  <si>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</si>
  <si>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</si>
  <si>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</si>
  <si>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</si>
  <si>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</si>
  <si>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</si>
  <si>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</si>
  <si>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</si>
  <si>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</si>
  <si>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</si>
  <si>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</si>
  <si>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</si>
  <si>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</si>
  <si>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</si>
  <si>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</si>
  <si>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</si>
  <si>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</si>
  <si>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</si>
  <si>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</si>
  <si>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</si>
  <si>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</si>
  <si>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</si>
  <si>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</si>
  <si>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</si>
  <si>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</si>
  <si>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</si>
  <si>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</si>
  <si>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</si>
  <si>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</si>
  <si>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</si>
  <si>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</si>
  <si>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</si>
  <si>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</si>
  <si>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</si>
  <si>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</si>
  <si>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</si>
  <si>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</si>
  <si>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</si>
  <si>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</si>
  <si>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</si>
  <si>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</si>
  <si>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</si>
  <si>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</si>
  <si>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</si>
  <si>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</si>
  <si>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</si>
  <si>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</si>
  <si>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</si>
  <si>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</si>
  <si>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</si>
  <si>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</si>
  <si>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</si>
  <si>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</si>
  <si>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</si>
  <si>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</si>
  <si>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</si>
  <si>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</si>
  <si>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</si>
  <si>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</si>
  <si>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</si>
  <si>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</si>
  <si>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</si>
  <si>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</si>
  <si>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</si>
  <si>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</si>
  <si>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</si>
  <si>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</si>
  <si>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</si>
  <si>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</si>
  <si>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</si>
  <si>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</si>
  <si>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</si>
  <si>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</si>
  <si>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</si>
  <si>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</si>
  <si>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</si>
  <si>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</si>
  <si>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</si>
  <si>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</si>
  <si>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</si>
  <si>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</si>
  <si>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</si>
  <si>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</si>
  <si>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</si>
  <si>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</si>
  <si>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</si>
  <si>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</si>
  <si>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</si>
  <si>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</si>
  <si>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</si>
  <si>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</si>
  <si>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</si>
  <si>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</si>
  <si>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</si>
  <si>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</si>
  <si>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</si>
  <si>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</si>
  <si>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</si>
  <si>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</si>
  <si>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</si>
  <si>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</si>
  <si>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</si>
  <si>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</si>
  <si>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</si>
  <si>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</si>
  <si>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</si>
  <si>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</si>
  <si>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</si>
  <si>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</si>
  <si>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</si>
  <si>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</si>
  <si>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</si>
  <si>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</si>
  <si>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</si>
  <si>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</si>
  <si>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</si>
  <si>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</si>
  <si>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</si>
  <si>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</si>
  <si>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</si>
  <si>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</si>
  <si>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</si>
  <si>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</si>
  <si>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</si>
  <si>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</si>
  <si>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</si>
  <si>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</si>
  <si>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</si>
  <si>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</si>
  <si>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</si>
  <si>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</si>
  <si>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</si>
  <si>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</si>
  <si>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</si>
  <si>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</si>
  <si>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</si>
  <si>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</si>
  <si>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</si>
  <si>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</si>
  <si>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</si>
  <si>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</si>
  <si>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</si>
  <si>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</si>
  <si>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</si>
  <si>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</si>
  <si>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</si>
  <si>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</si>
  <si>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</si>
  <si>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</si>
  <si>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</si>
  <si>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</si>
  <si>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</si>
  <si>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</si>
  <si>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</si>
  <si>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</si>
  <si>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</si>
  <si>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</si>
  <si>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</si>
  <si>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</si>
  <si>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</si>
  <si>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</si>
  <si>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</si>
  <si>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</si>
  <si>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</si>
  <si>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</si>
  <si>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</si>
  <si>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</si>
  <si>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</si>
  <si>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</si>
  <si>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</si>
  <si>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</si>
  <si>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</si>
  <si>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</si>
  <si>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</si>
  <si>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</si>
  <si>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</si>
  <si>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</si>
  <si>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</si>
  <si>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</si>
  <si>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</si>
  <si>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</si>
  <si>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</si>
  <si>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</si>
  <si>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</si>
  <si>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</si>
  <si>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</si>
  <si>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</si>
  <si>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</si>
  <si>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</si>
  <si>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</si>
  <si>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</si>
  <si>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</si>
  <si>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</si>
  <si>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</si>
  <si>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</si>
  <si>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</si>
  <si>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</si>
  <si>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</si>
  <si>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</si>
  <si>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</si>
  <si>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</si>
  <si>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</si>
  <si>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</si>
  <si>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</si>
  <si>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</si>
  <si>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</si>
  <si>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</si>
  <si>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</si>
  <si>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</si>
  <si>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</si>
  <si>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</si>
  <si>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</si>
  <si>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</si>
  <si>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</si>
  <si>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</si>
  <si>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</si>
  <si>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</si>
  <si>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</si>
  <si>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</si>
  <si>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</si>
  <si>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</si>
  <si>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</si>
  <si>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</si>
  <si>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</si>
  <si>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</si>
  <si>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</si>
  <si>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</si>
  <si>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</si>
  <si>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</si>
  <si>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</si>
  <si>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</si>
  <si>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</si>
  <si>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</si>
  <si>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</si>
  <si>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</si>
  <si>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</si>
  <si>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</si>
  <si>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</si>
  <si>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</si>
  <si>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</si>
  <si>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</si>
  <si>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</si>
  <si>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</si>
  <si>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</si>
  <si>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</si>
  <si>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</si>
  <si>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</si>
  <si>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</si>
  <si>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</si>
  <si>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</si>
  <si>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</si>
  <si>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</si>
  <si>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</si>
  <si>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</si>
  <si>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</si>
  <si>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</si>
  <si>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</si>
  <si>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</si>
  <si>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</si>
  <si>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</si>
  <si>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</si>
  <si>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</si>
  <si>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</si>
  <si>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</si>
  <si>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</si>
  <si>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</si>
  <si>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</si>
  <si>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</si>
  <si>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</si>
  <si>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</si>
  <si>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</si>
  <si>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</si>
  <si>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</si>
  <si>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</si>
  <si>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</si>
  <si>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</si>
  <si>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</si>
  <si>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</si>
  <si>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</si>
  <si>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</si>
  <si>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</si>
  <si>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</si>
  <si>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</si>
  <si>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</si>
  <si>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</si>
  <si>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</si>
  <si>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</si>
  <si>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</si>
  <si>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</si>
  <si>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</si>
  <si>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</si>
  <si>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</si>
  <si>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</si>
  <si>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</si>
  <si>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</si>
  <si>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</si>
  <si>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</si>
  <si>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</si>
  <si>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</si>
  <si>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</si>
  <si>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</si>
  <si>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</si>
  <si>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</si>
  <si>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</si>
  <si>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</si>
  <si>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</si>
  <si>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</si>
  <si>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</si>
  <si>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</si>
  <si>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</si>
  <si>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</si>
  <si>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</si>
  <si>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</si>
  <si>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</si>
  <si>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</si>
  <si>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</si>
  <si>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</si>
  <si>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</si>
  <si>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</si>
  <si>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</si>
  <si>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</si>
  <si>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</si>
  <si>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</si>
  <si>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</si>
  <si>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</si>
  <si>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</si>
  <si>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</si>
  <si>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</si>
  <si>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</si>
  <si>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</si>
  <si>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</si>
  <si>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</si>
  <si>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</si>
  <si>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</si>
  <si>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</si>
  <si>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</si>
  <si>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</si>
  <si>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</si>
  <si>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</si>
  <si>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</si>
  <si>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</si>
  <si>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</si>
  <si>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</si>
  <si>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</si>
  <si>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</si>
  <si>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</si>
  <si>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</si>
  <si>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</si>
  <si>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</si>
  <si>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</si>
  <si>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</si>
  <si>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</si>
  <si>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</si>
  <si>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</si>
  <si>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</si>
  <si>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</si>
  <si>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</si>
  <si>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</si>
  <si>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</si>
  <si>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</si>
  <si>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</si>
  <si>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</si>
  <si>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</si>
  <si>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</si>
  <si>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</si>
  <si>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</si>
  <si>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</si>
  <si>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</si>
  <si>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</si>
  <si>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</si>
  <si>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</si>
  <si>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</si>
  <si>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</si>
  <si>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</si>
  <si>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</si>
  <si>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</si>
  <si>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</si>
  <si>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</si>
  <si>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</si>
  <si>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</si>
  <si>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</si>
  <si>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</si>
  <si>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</si>
  <si>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</si>
  <si>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</si>
  <si>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</si>
  <si>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</si>
  <si>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</si>
  <si>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</si>
  <si>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</si>
  <si>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</si>
  <si>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</si>
  <si>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</si>
  <si>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</si>
  <si>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</si>
  <si>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</si>
  <si>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</si>
  <si>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</si>
  <si>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</si>
  <si>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</si>
  <si>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</si>
  <si>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</si>
  <si>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</si>
  <si>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</si>
  <si>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</si>
  <si>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</si>
  <si>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</si>
  <si>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</si>
  <si>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</si>
  <si>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</si>
  <si>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</si>
  <si>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</si>
  <si>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</si>
  <si>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</si>
  <si>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</si>
  <si>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</si>
  <si>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</si>
  <si>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</si>
  <si>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</si>
  <si>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</si>
  <si>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</si>
  <si>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</si>
  <si>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</si>
  <si>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</si>
  <si>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</si>
  <si>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</si>
  <si>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</si>
  <si>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</si>
  <si>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</si>
  <si>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</si>
  <si>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</si>
  <si>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</si>
  <si>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</si>
  <si>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</si>
  <si>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</si>
  <si>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</si>
  <si>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</si>
  <si>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</si>
  <si>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</si>
  <si>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</si>
  <si>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</si>
  <si>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</si>
  <si>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</si>
  <si>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</si>
  <si>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</si>
  <si>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</si>
  <si>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</si>
  <si>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</si>
  <si>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</si>
  <si>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</si>
  <si>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</si>
  <si>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</si>
  <si>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</si>
  <si>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</si>
  <si>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</si>
  <si>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</si>
  <si>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</si>
  <si>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</si>
  <si>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</si>
  <si>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</si>
  <si>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</si>
  <si>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</si>
  <si>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</si>
  <si>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</si>
  <si>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</si>
  <si>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</si>
  <si>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</si>
  <si>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</si>
  <si>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</si>
  <si>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</si>
  <si>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</si>
  <si>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</si>
  <si>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</si>
  <si>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</si>
  <si>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</si>
  <si>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</si>
  <si>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</si>
  <si>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</si>
  <si>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</si>
  <si>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</si>
  <si>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</si>
  <si>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</si>
  <si>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</si>
  <si>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</si>
  <si>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</si>
  <si>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</si>
  <si>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</si>
  <si>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</si>
  <si>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</si>
  <si>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</si>
  <si>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</si>
  <si>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</si>
  <si>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</si>
  <si>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</si>
  <si>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</si>
  <si>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</si>
  <si>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</si>
  <si>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</si>
  <si>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</si>
  <si>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</si>
  <si>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</si>
  <si>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</si>
  <si>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</si>
  <si>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</si>
  <si>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</si>
  <si>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</si>
  <si>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</si>
  <si>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</si>
  <si>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</si>
  <si>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</si>
  <si>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</si>
  <si>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</si>
  <si>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</si>
  <si>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</si>
  <si>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</si>
  <si>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</si>
  <si>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</si>
  <si>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</si>
  <si>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</si>
  <si>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</si>
  <si>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</si>
  <si>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</si>
  <si>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</si>
  <si>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</si>
  <si>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</si>
  <si>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</si>
  <si>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</si>
  <si>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</si>
  <si>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</si>
  <si>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</si>
  <si>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</si>
  <si>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</si>
  <si>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</si>
  <si>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</si>
  <si>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</si>
  <si>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</si>
  <si>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</si>
  <si>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</si>
  <si>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</si>
  <si>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</si>
  <si>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</si>
  <si>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</si>
  <si>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</si>
  <si>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</si>
  <si>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</si>
  <si>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</si>
  <si>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</si>
  <si>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</si>
  <si>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</si>
  <si>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</si>
  <si>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</si>
  <si>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</si>
  <si>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</si>
  <si>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</si>
  <si>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</si>
  <si>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</si>
  <si>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</si>
  <si>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</si>
  <si>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</si>
  <si>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</si>
  <si>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</si>
  <si>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</si>
  <si>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</si>
  <si>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</si>
  <si>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</si>
  <si>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</si>
  <si>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</si>
  <si>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</si>
  <si>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</si>
  <si>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</si>
  <si>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</si>
  <si>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</si>
  <si>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</si>
  <si>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</si>
  <si>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</si>
  <si>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</si>
  <si>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</si>
  <si>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</si>
  <si>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</si>
  <si>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</si>
  <si>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</si>
  <si>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</si>
  <si>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</si>
  <si>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</si>
  <si>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</si>
  <si>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</si>
  <si>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</si>
  <si>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</si>
  <si>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</si>
  <si>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</si>
  <si>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</si>
  <si>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</si>
  <si>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</si>
  <si>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</si>
  <si>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</si>
  <si>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</si>
  <si>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</si>
  <si>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</si>
  <si>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</si>
  <si>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</si>
  <si>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</si>
  <si>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</si>
  <si>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</si>
  <si>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</si>
  <si>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</si>
  <si>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</si>
  <si>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</si>
  <si>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</si>
  <si>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</si>
  <si>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</si>
  <si>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</si>
  <si>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</si>
  <si>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</si>
  <si>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</si>
  <si>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</si>
  <si>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</si>
  <si>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</si>
  <si>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</si>
  <si>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</si>
  <si>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</si>
  <si>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</si>
  <si>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</si>
  <si>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</si>
  <si>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</si>
  <si>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</si>
  <si>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</si>
  <si>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</si>
  <si>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</si>
  <si>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</si>
  <si>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</si>
  <si>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</si>
  <si>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</si>
  <si>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</si>
  <si>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</si>
  <si>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</si>
  <si>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</si>
  <si>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</si>
  <si>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</si>
  <si>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</si>
  <si>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</si>
  <si>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</si>
  <si>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</si>
  <si>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</si>
  <si>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</si>
  <si>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</si>
  <si>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</si>
  <si>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</si>
  <si>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</si>
  <si>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</si>
  <si>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</si>
  <si>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</si>
  <si>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</si>
  <si>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</si>
  <si>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</si>
  <si>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</si>
  <si>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</si>
  <si>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</si>
  <si>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</si>
  <si>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</si>
  <si>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</si>
  <si>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</si>
  <si>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</si>
  <si>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</si>
  <si>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</si>
  <si>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</si>
  <si>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</si>
  <si>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</si>
  <si>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</si>
  <si>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</si>
  <si>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</si>
  <si>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</si>
  <si>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</si>
  <si>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</si>
  <si>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</si>
  <si>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</si>
  <si>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</si>
  <si>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</si>
  <si>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</si>
  <si>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</si>
  <si>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</si>
  <si>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</si>
  <si>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</si>
  <si>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</si>
  <si>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</si>
  <si>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</si>
  <si>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</si>
  <si>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</si>
  <si>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</si>
  <si>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</si>
  <si>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</si>
  <si>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</si>
  <si>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</si>
  <si>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</si>
  <si>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</si>
  <si>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</si>
  <si>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</si>
  <si>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</si>
  <si>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</si>
  <si>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</si>
  <si>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</si>
  <si>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</si>
  <si>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</si>
  <si>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</si>
  <si>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</si>
  <si>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</si>
  <si>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</si>
  <si>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</si>
  <si>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</si>
  <si>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</si>
  <si>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</si>
  <si>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</si>
  <si>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</si>
  <si>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</si>
  <si>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</si>
  <si>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</si>
  <si>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</si>
  <si>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</si>
  <si>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</si>
  <si>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</si>
  <si>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</si>
  <si>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</si>
  <si>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</si>
  <si>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</si>
  <si>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</si>
  <si>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</si>
  <si>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</si>
  <si>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</si>
  <si>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</si>
  <si>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</si>
  <si>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</si>
  <si>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</si>
  <si>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</si>
  <si>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</si>
  <si>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</si>
  <si>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</si>
  <si>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</si>
  <si>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</si>
  <si>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</si>
  <si>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</si>
  <si>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</si>
  <si>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</si>
  <si>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</si>
  <si>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</si>
  <si>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</si>
  <si>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</si>
  <si>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</si>
  <si>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</si>
  <si>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</si>
  <si>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</si>
  <si>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</si>
  <si>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</si>
  <si>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</si>
  <si>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</si>
  <si>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</si>
  <si>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</si>
  <si>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</si>
  <si>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</si>
  <si>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</si>
  <si>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</si>
  <si>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</si>
  <si>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</si>
  <si>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</si>
  <si>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</si>
  <si>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</si>
  <si>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</si>
  <si>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</si>
  <si>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</si>
  <si>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</si>
  <si>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</si>
  <si>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</si>
  <si>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</si>
  <si>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</si>
  <si>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</si>
  <si>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</si>
  <si>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</si>
  <si>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</si>
  <si>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</si>
  <si>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</si>
  <si>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</si>
  <si>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</si>
  <si>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</si>
  <si>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</si>
  <si>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</si>
  <si>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</si>
  <si>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</si>
  <si>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</si>
  <si>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</si>
  <si>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</si>
  <si>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</si>
  <si>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</si>
  <si>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</si>
  <si>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</si>
  <si>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</si>
  <si>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</si>
  <si>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</si>
  <si>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</si>
  <si>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</si>
  <si>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</si>
  <si>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</si>
  <si>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</si>
  <si>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</si>
  <si>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</si>
  <si>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</si>
  <si>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</si>
  <si>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</si>
  <si>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</si>
  <si>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</si>
  <si>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</si>
  <si>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</si>
  <si>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</si>
  <si>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</si>
  <si>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</si>
  <si>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</si>
  <si>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</si>
  <si>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</si>
  <si>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</si>
  <si>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</si>
  <si>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</si>
  <si>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</si>
  <si>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</si>
  <si>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</si>
  <si>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</si>
  <si>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</si>
  <si>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</si>
  <si>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</si>
  <si>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</si>
  <si>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</si>
  <si>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</si>
  <si>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</si>
  <si>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</si>
  <si>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</si>
  <si>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</si>
  <si>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</si>
  <si>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</si>
  <si>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</si>
  <si>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</si>
  <si>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</si>
  <si>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</si>
  <si>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</si>
  <si>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</si>
  <si>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</si>
  <si>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</si>
  <si>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</si>
  <si>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</si>
  <si>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</si>
  <si>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</si>
  <si>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</si>
  <si>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</si>
  <si>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</si>
  <si>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</si>
  <si>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</si>
  <si>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</si>
  <si>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</si>
  <si>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</si>
  <si>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</si>
  <si>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</si>
  <si>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</si>
  <si>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</si>
  <si>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</si>
  <si>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</si>
  <si>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</si>
  <si>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</si>
  <si>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</si>
  <si>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</si>
  <si>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</si>
  <si>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</si>
  <si>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</si>
  <si>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</si>
  <si>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</si>
  <si>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</si>
  <si>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</si>
  <si>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</si>
  <si>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</si>
  <si>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</si>
  <si>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</si>
  <si>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</si>
  <si>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</si>
  <si>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</si>
  <si>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</si>
  <si>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</si>
  <si>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</si>
  <si>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</si>
  <si>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</si>
  <si>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</si>
  <si>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</si>
  <si>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</si>
  <si>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</si>
  <si>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</si>
  <si>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</si>
  <si>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</si>
  <si>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</si>
  <si>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</si>
  <si>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</si>
  <si>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</si>
  <si>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</si>
  <si>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</si>
  <si>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</si>
  <si>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</si>
  <si>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</si>
  <si>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</si>
  <si>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</si>
  <si>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</si>
  <si>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</si>
  <si>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</si>
  <si>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</si>
  <si>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</si>
  <si>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</si>
  <si>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</si>
  <si>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</si>
  <si>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</si>
  <si>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</si>
  <si>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</si>
  <si>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</si>
  <si>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</si>
  <si>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</si>
  <si>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</si>
  <si>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</si>
  <si>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</si>
  <si>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</si>
  <si>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</si>
  <si>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</si>
  <si>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</si>
  <si>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</si>
  <si>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</si>
  <si>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</si>
  <si>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</si>
  <si>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</si>
  <si>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</si>
  <si>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</si>
  <si>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</si>
  <si>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</si>
  <si>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</si>
  <si>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</si>
  <si>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</si>
  <si>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</si>
  <si>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</si>
  <si>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</si>
  <si>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</si>
  <si>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</si>
  <si>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</si>
  <si>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</si>
  <si>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</si>
  <si>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</si>
  <si>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</si>
  <si>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</si>
  <si>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</si>
  <si>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</si>
  <si>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</si>
  <si>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</si>
  <si>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</si>
  <si>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</si>
  <si>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</si>
  <si>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</si>
  <si>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</si>
  <si>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</si>
  <si>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</si>
  <si>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</si>
  <si>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</si>
  <si>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</si>
  <si>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</si>
  <si>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</si>
  <si>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</si>
  <si>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</si>
  <si>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</si>
  <si>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</si>
  <si>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</si>
  <si>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</si>
  <si>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</si>
  <si>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</si>
  <si>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</si>
  <si>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</si>
  <si>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</si>
  <si>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</si>
  <si>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</si>
  <si>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</si>
  <si>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</si>
  <si>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</si>
  <si>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</si>
  <si>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</si>
  <si>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</si>
  <si>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</si>
  <si>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</si>
  <si>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</si>
  <si>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</si>
  <si>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</si>
  <si>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</si>
  <si>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</si>
  <si>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</si>
  <si>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</si>
  <si>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</si>
  <si>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</si>
  <si>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</si>
  <si>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</si>
  <si>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</si>
  <si>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</si>
  <si>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</si>
  <si>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</si>
  <si>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</si>
  <si>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</si>
  <si>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</si>
  <si>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</si>
  <si>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</si>
  <si>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</si>
  <si>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</si>
  <si>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</si>
  <si>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</si>
  <si>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</si>
  <si>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</si>
  <si>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</si>
  <si>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</si>
  <si>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</si>
  <si>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</si>
  <si>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</si>
  <si>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</si>
  <si>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</si>
  <si>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</si>
  <si>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</si>
  <si>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</si>
  <si>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</si>
  <si>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</si>
  <si>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</si>
  <si>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</si>
  <si>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</si>
  <si>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</si>
  <si>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</si>
  <si>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</si>
  <si>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</si>
  <si>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</si>
  <si>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</si>
  <si>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</si>
  <si>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</si>
  <si>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</si>
  <si>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</si>
  <si>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</si>
  <si>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</si>
  <si>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</si>
  <si>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</si>
  <si>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</si>
  <si>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</si>
  <si>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</si>
  <si>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</si>
  <si>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</si>
  <si>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</si>
  <si>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</si>
  <si>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</si>
  <si>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</si>
  <si>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</si>
  <si>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</si>
  <si>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</si>
  <si>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</si>
  <si>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</si>
  <si>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</si>
  <si>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</si>
  <si>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</si>
  <si>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</si>
  <si>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</si>
  <si>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</si>
  <si>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</si>
  <si>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</si>
  <si>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</si>
  <si>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</si>
  <si>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</si>
  <si>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</si>
  <si>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</si>
  <si>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</si>
  <si>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</si>
  <si>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</si>
  <si>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</si>
  <si>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</si>
  <si>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</si>
  <si>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</si>
  <si>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</si>
  <si>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</si>
  <si>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</si>
  <si>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</si>
  <si>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</si>
  <si>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</si>
  <si>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</si>
  <si>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</si>
  <si>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</si>
  <si>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</si>
  <si>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</si>
  <si>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</si>
  <si>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</si>
  <si>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</si>
  <si>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</si>
  <si>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</si>
  <si>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</si>
  <si>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</si>
  <si>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</si>
  <si>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</si>
  <si>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</si>
  <si>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</si>
  <si>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</si>
  <si>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</si>
  <si>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</si>
  <si>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</si>
  <si>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</si>
  <si>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</si>
  <si>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</si>
  <si>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</si>
  <si>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</si>
  <si>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</si>
  <si>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</si>
  <si>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</si>
  <si>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</si>
  <si>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</si>
  <si>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</si>
  <si>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</si>
  <si>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</si>
  <si>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</si>
  <si>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</si>
  <si>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</si>
  <si>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</si>
  <si>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</si>
  <si>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</si>
  <si>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</si>
  <si>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</si>
  <si>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</si>
  <si>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</si>
  <si>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</si>
  <si>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</si>
  <si>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</si>
  <si>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</si>
  <si>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</si>
  <si>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</si>
  <si>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</si>
  <si>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</si>
  <si>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</si>
  <si>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</si>
  <si>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</si>
  <si>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</si>
  <si>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</si>
  <si>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</si>
  <si>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</si>
  <si>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</si>
  <si>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</si>
  <si>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</si>
  <si>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</si>
  <si>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</si>
  <si>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</si>
  <si>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</si>
  <si>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</si>
  <si>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</si>
  <si>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</si>
  <si>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</si>
  <si>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</si>
  <si>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</si>
  <si>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</si>
  <si>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</si>
  <si>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</si>
  <si>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</si>
  <si>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</si>
  <si>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</si>
  <si>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</si>
  <si>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</si>
  <si>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</si>
  <si>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</si>
  <si>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</si>
  <si>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</si>
  <si>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</si>
  <si>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</si>
  <si>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</si>
  <si>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</si>
  <si>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</si>
  <si>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</si>
  <si>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</si>
  <si>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</si>
  <si>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</si>
  <si>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</si>
  <si>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</si>
  <si>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</si>
  <si>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</si>
  <si>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</si>
  <si>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</si>
  <si>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</si>
  <si>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</si>
  <si>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</si>
  <si>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</si>
  <si>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</si>
  <si>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</si>
  <si>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</si>
  <si>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</si>
  <si>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</si>
  <si>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</si>
  <si>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</si>
  <si>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</si>
  <si>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</si>
  <si>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</si>
  <si>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</si>
  <si>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</si>
  <si>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</si>
  <si>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</si>
  <si>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</si>
  <si>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</si>
  <si>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</si>
  <si>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</si>
  <si>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</si>
  <si>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</si>
  <si>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</si>
  <si>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</si>
  <si>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</si>
  <si>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</si>
  <si>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</si>
  <si>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</si>
  <si>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</si>
  <si>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</si>
  <si>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</si>
  <si>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</si>
  <si>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</si>
  <si>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</si>
  <si>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</si>
  <si>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</si>
  <si>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</si>
  <si>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</si>
  <si>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</si>
  <si>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</si>
  <si>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</si>
  <si>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</si>
  <si>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</si>
  <si>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</si>
  <si>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</si>
  <si>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</si>
  <si>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</si>
  <si>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</si>
  <si>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</si>
  <si>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</si>
  <si>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</si>
  <si>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</si>
  <si>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</si>
  <si>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</si>
  <si>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</si>
  <si>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</si>
  <si>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</si>
  <si>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</si>
  <si>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</si>
  <si>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</si>
  <si>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</si>
  <si>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</si>
  <si>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</si>
  <si>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</si>
  <si>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</si>
  <si>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</si>
  <si>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</si>
  <si>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</si>
  <si>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</si>
  <si>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</si>
  <si>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</si>
  <si>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</si>
  <si>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</si>
  <si>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</si>
  <si>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</si>
  <si>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</si>
  <si>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</si>
  <si>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</si>
  <si>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</si>
  <si>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</si>
  <si>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</si>
  <si>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</si>
  <si>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</si>
  <si>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</si>
  <si>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</si>
  <si>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</si>
  <si>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</si>
  <si>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</si>
  <si>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</si>
  <si>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</si>
  <si>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</si>
  <si>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</si>
  <si>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</si>
  <si>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</si>
  <si>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</si>
  <si>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</si>
  <si>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</si>
  <si>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</si>
  <si>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</si>
  <si>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</si>
  <si>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</si>
  <si>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</si>
  <si>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</si>
  <si>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</si>
  <si>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</si>
  <si>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</si>
  <si>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</si>
  <si>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</si>
  <si>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</si>
  <si>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</si>
  <si>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</si>
  <si>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</si>
  <si>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</si>
  <si>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</si>
  <si>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</si>
  <si>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</si>
  <si>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</si>
  <si>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</si>
  <si>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</si>
  <si>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</si>
  <si>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</si>
  <si>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</si>
  <si>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</si>
  <si>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</si>
  <si>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</si>
  <si>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</si>
  <si>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</si>
  <si>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</si>
  <si>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</si>
  <si>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</si>
  <si>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</si>
  <si>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</si>
  <si>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</si>
  <si>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</si>
  <si>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</si>
  <si>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</si>
  <si>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</si>
  <si>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</si>
  <si>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</si>
  <si>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</si>
  <si>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</si>
  <si>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</si>
  <si>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</si>
  <si>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</si>
  <si>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</si>
  <si>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</si>
  <si>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</si>
  <si>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</si>
  <si>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</si>
  <si>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</si>
  <si>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</si>
  <si>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</si>
  <si>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</si>
  <si>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</si>
  <si>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</si>
  <si>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</si>
  <si>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</si>
  <si>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</si>
  <si>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</si>
  <si>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</si>
  <si>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</si>
  <si>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</si>
  <si>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</si>
  <si>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</si>
  <si>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</si>
  <si>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</si>
  <si>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</si>
  <si>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</si>
  <si>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</si>
  <si>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</si>
  <si>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</si>
  <si>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</si>
  <si>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</si>
  <si>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</si>
  <si>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</si>
  <si>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</si>
  <si>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</si>
  <si>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</si>
  <si>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</si>
  <si>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</si>
  <si>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</si>
  <si>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</si>
  <si>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</si>
  <si>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</si>
  <si>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</si>
  <si>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</si>
  <si>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</si>
  <si>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</si>
  <si>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</si>
  <si>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</si>
  <si>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</si>
  <si>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</si>
  <si>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</si>
  <si>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</si>
  <si>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</si>
  <si>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</si>
  <si>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</si>
  <si>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</si>
  <si>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</si>
  <si>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</si>
  <si>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</si>
  <si>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</si>
  <si>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</si>
  <si>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</si>
  <si>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</si>
  <si>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</si>
  <si>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</si>
  <si>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</si>
  <si>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</si>
  <si>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</si>
  <si>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</si>
  <si>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</si>
  <si>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</si>
  <si>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</si>
  <si>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</si>
  <si>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</si>
  <si>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</si>
  <si>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</si>
  <si>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</si>
  <si>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</si>
  <si>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</si>
  <si>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</si>
  <si>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</si>
  <si>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</si>
  <si>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</si>
  <si>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</si>
  <si>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</si>
  <si>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</si>
  <si>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</si>
  <si>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</si>
  <si>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</si>
  <si>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</si>
  <si>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</si>
  <si>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</si>
  <si>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</si>
  <si>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</si>
  <si>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</si>
  <si>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</si>
  <si>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</si>
  <si>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</si>
  <si>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</si>
  <si>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</si>
  <si>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</si>
  <si>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</si>
  <si>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</si>
  <si>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</si>
  <si>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</si>
  <si>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</si>
  <si>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</si>
  <si>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</si>
  <si>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</si>
  <si>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</si>
  <si>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</si>
  <si>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</si>
  <si>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</si>
  <si>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</si>
  <si>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</si>
  <si>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</si>
  <si>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</si>
  <si>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</si>
  <si>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</si>
  <si>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</si>
  <si>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</si>
  <si>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</si>
  <si>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</si>
  <si>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</si>
  <si>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</si>
  <si>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</si>
  <si>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</si>
  <si>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</si>
  <si>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</si>
  <si>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</si>
  <si>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</si>
  <si>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</si>
  <si>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</si>
  <si>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</si>
  <si>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</si>
  <si>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</si>
  <si>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</si>
  <si>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</si>
  <si>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</si>
  <si>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</si>
  <si>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</si>
  <si>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</si>
  <si>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</si>
  <si>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</si>
  <si>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</si>
  <si>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</si>
  <si>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</si>
  <si>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</si>
  <si>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</si>
  <si>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</si>
  <si>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</si>
  <si>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</si>
  <si>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</si>
  <si>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</si>
  <si>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</si>
  <si>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</si>
  <si>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</si>
  <si>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</si>
  <si>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</si>
  <si>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</si>
  <si>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</si>
  <si>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</si>
  <si>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</si>
  <si>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</si>
  <si>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</si>
  <si>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</si>
  <si>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</si>
  <si>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</si>
  <si>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</si>
  <si>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</si>
  <si>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</si>
  <si>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</si>
  <si>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</si>
  <si>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</si>
  <si>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</si>
  <si>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</si>
  <si>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</si>
  <si>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</si>
  <si>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</si>
  <si>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</si>
  <si>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</si>
  <si>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</si>
  <si>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</si>
  <si>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</si>
  <si>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</si>
  <si>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</si>
  <si>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</si>
  <si>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</si>
  <si>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</si>
  <si>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</si>
  <si>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</si>
  <si>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</si>
  <si>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</si>
  <si>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</si>
  <si>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</si>
  <si>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</si>
  <si>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</si>
  <si>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</si>
  <si>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</si>
  <si>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</si>
  <si>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</si>
  <si>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</si>
  <si>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</si>
  <si>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</si>
  <si>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</si>
  <si>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</si>
  <si>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</si>
  <si>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</si>
  <si>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</si>
  <si>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</si>
  <si>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</si>
  <si>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</si>
  <si>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</si>
  <si>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</si>
  <si>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</si>
  <si>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</si>
  <si>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</si>
  <si>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</si>
  <si>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</si>
  <si>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</si>
  <si>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</si>
  <si>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</si>
  <si>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</si>
  <si>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</si>
  <si>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</si>
  <si>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</si>
  <si>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</si>
  <si>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</si>
  <si>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</si>
  <si>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</si>
  <si>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</si>
  <si>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</si>
  <si>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</si>
  <si>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</si>
  <si>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</si>
  <si>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</si>
  <si>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</si>
  <si>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</si>
  <si>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</si>
  <si>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</si>
  <si>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</si>
  <si>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</si>
  <si>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</si>
  <si>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</si>
  <si>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</si>
  <si>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</si>
  <si>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</si>
  <si>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</si>
  <si>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</si>
  <si>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</si>
  <si>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</si>
  <si>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</si>
  <si>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</si>
  <si>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</si>
  <si>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</si>
  <si>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</si>
  <si>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</si>
  <si>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</si>
  <si>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</si>
  <si>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</si>
  <si>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</si>
  <si>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</si>
  <si>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</si>
  <si>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</si>
  <si>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</si>
  <si>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</si>
  <si>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</si>
  <si>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</si>
  <si>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</si>
  <si>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</si>
  <si>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</si>
  <si>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</si>
  <si>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</si>
  <si>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</si>
  <si>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</si>
  <si>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</si>
  <si>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</si>
  <si>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</si>
  <si>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</si>
  <si>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</si>
  <si>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</si>
  <si>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</si>
  <si>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</si>
  <si>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</si>
  <si>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</si>
  <si>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</si>
  <si>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</si>
  <si>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</si>
  <si>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</si>
  <si>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</si>
  <si>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</si>
  <si>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</si>
  <si>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</si>
  <si>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</si>
  <si>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</si>
  <si>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</si>
  <si>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</si>
  <si>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</si>
  <si>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</si>
  <si>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</si>
  <si>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</si>
  <si>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</si>
  <si>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</si>
  <si>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</si>
  <si>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</si>
  <si>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</si>
  <si>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</si>
  <si>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</si>
  <si>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</si>
  <si>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</si>
  <si>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</si>
  <si>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</si>
  <si>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</si>
  <si>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</si>
  <si>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</si>
  <si>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</si>
  <si>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</si>
  <si>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</si>
  <si>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</si>
  <si>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</si>
  <si>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</si>
  <si>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</si>
  <si>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</si>
  <si>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</si>
  <si>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</si>
  <si>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</si>
  <si>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</si>
  <si>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</si>
  <si>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</si>
  <si>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</si>
  <si>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</si>
  <si>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</si>
  <si>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</si>
  <si>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</si>
  <si>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</si>
  <si>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</si>
  <si>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</si>
  <si>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</si>
  <si>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</si>
  <si>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</si>
  <si>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</si>
  <si>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</si>
  <si>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</si>
  <si>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</si>
  <si>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</si>
  <si>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</si>
  <si>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</si>
  <si>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</si>
  <si>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</si>
  <si>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</si>
  <si>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</si>
  <si>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</si>
  <si>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</si>
  <si>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</si>
  <si>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</si>
  <si>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</si>
  <si>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</si>
  <si>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</si>
  <si>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</si>
  <si>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</si>
  <si>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</si>
  <si>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</si>
  <si>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</si>
  <si>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</si>
  <si>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</si>
  <si>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</si>
  <si>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</si>
  <si>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</si>
  <si>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</si>
  <si>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</si>
  <si>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</si>
  <si>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</si>
  <si>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</si>
  <si>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</si>
  <si>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</si>
  <si>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</si>
  <si>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</si>
  <si>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</si>
  <si>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</si>
  <si>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</si>
  <si>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</si>
  <si>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</si>
  <si>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</si>
  <si>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</si>
  <si>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</si>
  <si>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</si>
  <si>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</si>
  <si>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</si>
  <si>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</si>
  <si>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</si>
  <si>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</si>
  <si>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</si>
  <si>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</si>
  <si>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</si>
  <si>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</si>
  <si>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</si>
  <si>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</si>
  <si>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</si>
  <si>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</si>
  <si>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</si>
  <si>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</si>
  <si>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</si>
  <si>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</si>
  <si>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</si>
  <si>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</si>
  <si>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</si>
  <si>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</si>
  <si>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</si>
  <si>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</si>
  <si>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</si>
  <si>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</si>
  <si>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</si>
  <si>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</si>
  <si>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</si>
  <si>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</si>
  <si>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</si>
  <si>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</si>
  <si>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</si>
  <si>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</si>
  <si>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</si>
  <si>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</si>
  <si>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</si>
  <si>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</si>
  <si>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</si>
  <si>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</si>
  <si>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</si>
  <si>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</si>
  <si>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</si>
  <si>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</si>
  <si>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</si>
  <si>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</si>
  <si>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</si>
  <si>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</si>
  <si>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</si>
  <si>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</si>
  <si>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</si>
  <si>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</si>
  <si>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</si>
  <si>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</si>
  <si>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</si>
  <si>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</si>
  <si>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</si>
  <si>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</si>
  <si>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</si>
  <si>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</si>
  <si>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</si>
  <si>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</si>
  <si>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</si>
  <si>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</si>
  <si>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</si>
  <si>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</si>
  <si>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</si>
  <si>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</si>
  <si>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</si>
  <si>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</si>
  <si>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</si>
  <si>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</si>
  <si>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</si>
  <si>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</si>
  <si>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</si>
  <si>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</si>
  <si>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</si>
  <si>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</si>
  <si>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</si>
  <si>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</si>
  <si>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</si>
  <si>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</si>
  <si>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</si>
  <si>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</si>
  <si>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</si>
  <si>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</si>
  <si>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</si>
  <si>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</si>
  <si>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</si>
  <si>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</si>
  <si>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</si>
  <si>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</si>
  <si>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</si>
  <si>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</si>
  <si>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</si>
  <si>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</si>
  <si>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</si>
  <si>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</si>
  <si>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</si>
  <si>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</si>
  <si>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</si>
  <si>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</si>
  <si>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</si>
  <si>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</si>
  <si>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</si>
  <si>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</si>
  <si>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</si>
  <si>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</si>
  <si>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</si>
  <si>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</si>
  <si>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</si>
  <si>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</si>
  <si>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</si>
  <si>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</si>
  <si>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</si>
  <si>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</si>
  <si>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</si>
  <si>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</si>
  <si>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</si>
  <si>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</si>
  <si>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</si>
  <si>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</si>
  <si>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</si>
  <si>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</si>
  <si>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</si>
  <si>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</si>
  <si>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</si>
  <si>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</si>
  <si>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</si>
  <si>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</si>
  <si>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</si>
  <si>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</si>
  <si>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</si>
  <si>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</si>
  <si>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</si>
  <si>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</si>
  <si>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</si>
  <si>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</si>
  <si>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</si>
  <si>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</si>
  <si>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</si>
  <si>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</si>
  <si>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</si>
  <si>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</si>
  <si>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</si>
  <si>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</si>
  <si>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</si>
  <si>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</si>
  <si>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</si>
  <si>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</si>
  <si>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</si>
  <si>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</si>
  <si>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</si>
  <si>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</si>
  <si>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</si>
  <si>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</si>
  <si>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</si>
  <si>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</si>
  <si>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</si>
  <si>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</si>
  <si>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</si>
  <si>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</si>
  <si>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</si>
  <si>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</si>
  <si>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</si>
  <si>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</si>
  <si>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</si>
  <si>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</si>
  <si>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</si>
  <si>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</si>
  <si>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</si>
  <si>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</si>
  <si>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</si>
  <si>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</si>
  <si>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</si>
  <si>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</si>
  <si>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</si>
  <si>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</si>
  <si>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</si>
  <si>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</si>
  <si>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</si>
  <si>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</si>
  <si>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</si>
  <si>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</si>
  <si>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</si>
  <si>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</si>
  <si>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</si>
  <si>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</si>
  <si>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</si>
  <si>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</si>
  <si>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</si>
  <si>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</si>
  <si>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</si>
  <si>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</si>
  <si>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</si>
  <si>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</si>
  <si>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</si>
  <si>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</si>
  <si>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</si>
  <si>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</si>
  <si>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</si>
  <si>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</si>
  <si>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</si>
  <si>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</si>
  <si>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</si>
  <si>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</si>
  <si>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</si>
  <si>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</si>
  <si>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</si>
  <si>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</si>
  <si>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</si>
  <si>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</si>
  <si>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</si>
  <si>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</si>
  <si>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</si>
  <si>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</si>
  <si>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</si>
  <si>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</si>
  <si>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</si>
  <si>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</si>
  <si>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</si>
  <si>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</si>
  <si>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</si>
  <si>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</si>
  <si>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</si>
  <si>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</si>
  <si>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</si>
  <si>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</si>
  <si>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</si>
  <si>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</si>
  <si>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</si>
  <si>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</si>
  <si>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</si>
  <si>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</si>
  <si>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</si>
  <si>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</si>
  <si>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</si>
  <si>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</si>
  <si>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</si>
  <si>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</si>
  <si>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</si>
  <si>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</si>
  <si>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</si>
  <si>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</si>
  <si>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</si>
  <si>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</si>
  <si>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</si>
  <si>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</si>
  <si>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</si>
  <si>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</si>
  <si>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</si>
  <si>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</si>
  <si>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</si>
  <si>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</si>
  <si>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</si>
  <si>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</si>
  <si>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</si>
  <si>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</si>
  <si>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</si>
  <si>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</si>
  <si>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</si>
  <si>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</si>
  <si>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</si>
  <si>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</si>
  <si>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</si>
  <si>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</si>
  <si>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</si>
  <si>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</si>
  <si>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</si>
  <si>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</si>
  <si>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</si>
  <si>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</si>
  <si>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</si>
  <si>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</si>
  <si>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</si>
  <si>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</si>
  <si>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</si>
  <si>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</si>
  <si>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</si>
  <si>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</si>
  <si>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</si>
  <si>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</si>
  <si>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</si>
  <si>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</si>
  <si>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</si>
  <si>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</si>
  <si>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</si>
  <si>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</si>
  <si>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</si>
  <si>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</si>
  <si>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</si>
  <si>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</si>
  <si>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</si>
  <si>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</si>
  <si>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</si>
  <si>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</si>
  <si>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</si>
  <si>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</si>
  <si>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</si>
  <si>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</si>
  <si>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</si>
  <si>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</si>
  <si>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</si>
  <si>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</si>
  <si>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</si>
  <si>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</si>
  <si>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</si>
  <si>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</si>
  <si>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</si>
  <si>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</si>
  <si>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</si>
  <si>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</si>
  <si>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</si>
  <si>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</si>
  <si>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</si>
  <si>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</si>
  <si>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</si>
  <si>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</si>
  <si>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</si>
  <si>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</si>
  <si>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</si>
  <si>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</si>
  <si>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</si>
  <si>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</si>
  <si>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</si>
  <si>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</si>
  <si>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</si>
  <si>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</si>
  <si>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</si>
  <si>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</si>
  <si>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</si>
  <si>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</si>
  <si>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</si>
  <si>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</si>
  <si>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</si>
  <si>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</si>
  <si>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</si>
  <si>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</si>
  <si>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</si>
  <si>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</si>
  <si>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</si>
  <si>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</si>
  <si>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</si>
  <si>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</si>
  <si>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</si>
  <si>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</si>
  <si>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</si>
  <si>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</si>
  <si>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</si>
  <si>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</si>
  <si>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</si>
  <si>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</si>
  <si>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</si>
  <si>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</si>
  <si>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</si>
  <si>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</si>
  <si>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</si>
  <si>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</si>
  <si>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</si>
  <si>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</si>
  <si>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</si>
  <si>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</si>
  <si>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</si>
  <si>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</si>
  <si>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</si>
  <si>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</si>
  <si>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</si>
  <si>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</si>
  <si>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</si>
  <si>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</si>
  <si>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</si>
  <si>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</si>
  <si>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</si>
  <si>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</si>
  <si>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</si>
  <si>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</si>
  <si>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</si>
  <si>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</si>
  <si>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</si>
  <si>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</si>
  <si>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</si>
  <si>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</si>
  <si>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</si>
  <si>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</si>
  <si>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</si>
  <si>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</si>
  <si>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</si>
  <si>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</si>
  <si>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</si>
  <si>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</si>
  <si>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</si>
  <si>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</si>
  <si>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</si>
  <si>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</si>
  <si>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</si>
  <si>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</si>
  <si>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</si>
  <si>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</si>
  <si>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</si>
  <si>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</si>
  <si>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</si>
  <si>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</si>
  <si>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</si>
  <si>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</si>
  <si>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</si>
  <si>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</si>
  <si>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</si>
  <si>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</si>
  <si>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</si>
  <si>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</si>
  <si>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</si>
  <si>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</si>
  <si>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</si>
  <si>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</si>
  <si>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</si>
  <si>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</si>
  <si>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</si>
  <si>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</si>
  <si>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</si>
  <si>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</si>
  <si>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</si>
  <si>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</si>
  <si>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</si>
  <si>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</si>
  <si>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</si>
  <si>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</si>
  <si>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</si>
  <si>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</si>
  <si>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</si>
  <si>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</si>
  <si>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</si>
  <si>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</si>
  <si>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</si>
  <si>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</si>
  <si>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</si>
  <si>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</si>
  <si>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</si>
  <si>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</si>
  <si>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</si>
  <si>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</si>
  <si>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</si>
  <si>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</si>
  <si>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</si>
  <si>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</si>
  <si>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</si>
  <si>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</si>
  <si>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</si>
  <si>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</si>
  <si>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</si>
  <si>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</si>
  <si>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</si>
  <si>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</si>
  <si>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</si>
  <si>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</si>
  <si>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</si>
  <si>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</si>
  <si>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</si>
  <si>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</si>
  <si>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</si>
  <si>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</si>
  <si>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</si>
  <si>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</si>
  <si>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</si>
  <si>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</si>
  <si>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</si>
  <si>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</si>
  <si>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</si>
  <si>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</si>
  <si>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</si>
  <si>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</si>
  <si>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</si>
  <si>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</si>
  <si>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</si>
  <si>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</si>
  <si>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</si>
  <si>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</si>
  <si>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</si>
  <si>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</si>
  <si>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</si>
  <si>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</si>
  <si>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</si>
  <si>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</si>
  <si>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</si>
  <si>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</si>
  <si>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</si>
  <si>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</si>
  <si>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</si>
  <si>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</si>
  <si>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</si>
  <si>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</si>
  <si>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</si>
  <si>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</si>
  <si>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</si>
  <si>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</si>
  <si>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</si>
  <si>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</si>
  <si>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</si>
  <si>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</si>
  <si>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</si>
  <si>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</si>
  <si>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</si>
  <si>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</si>
  <si>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</si>
  <si>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</si>
  <si>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</si>
  <si>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</si>
  <si>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</si>
  <si>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</si>
  <si>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</si>
  <si>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</si>
  <si>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</si>
  <si>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</si>
  <si>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</si>
  <si>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</si>
  <si>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</si>
  <si>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</si>
  <si>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</si>
  <si>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</si>
  <si>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</si>
  <si>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</si>
  <si>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</si>
  <si>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</si>
  <si>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</si>
  <si>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</si>
  <si>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</si>
  <si>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</si>
  <si>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</si>
  <si>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</si>
  <si>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</si>
  <si>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</si>
  <si>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</si>
  <si>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</si>
  <si>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</si>
  <si>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</si>
  <si>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</si>
  <si>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</si>
  <si>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</si>
  <si>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</si>
  <si>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</si>
  <si>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</si>
  <si>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</si>
  <si>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</si>
  <si>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</si>
  <si>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</si>
  <si>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</si>
  <si>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</si>
  <si>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</si>
  <si>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</si>
  <si>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</si>
  <si>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</si>
  <si>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</si>
  <si>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</si>
  <si>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</si>
  <si>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</si>
  <si>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</si>
  <si>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</si>
  <si>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</si>
  <si>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</si>
  <si>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</si>
  <si>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</si>
  <si>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</si>
  <si>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</si>
  <si>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</si>
  <si>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</si>
  <si>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</si>
  <si>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</si>
  <si>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</si>
  <si>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</si>
  <si>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</si>
  <si>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</si>
  <si>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</si>
  <si>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</si>
  <si>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</si>
  <si>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</si>
  <si>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</si>
  <si>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</si>
  <si>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</si>
  <si>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</si>
  <si>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</si>
  <si>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</si>
  <si>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</si>
  <si>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</si>
  <si>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</si>
  <si>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</si>
  <si>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</si>
  <si>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</si>
  <si>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</si>
  <si>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</si>
  <si>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</si>
  <si>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</si>
  <si>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</si>
  <si>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</si>
  <si>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</si>
  <si>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</si>
  <si>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</si>
  <si>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</si>
  <si>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</si>
  <si>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</si>
  <si>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</si>
  <si>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</si>
  <si>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</si>
  <si>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</si>
  <si>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</si>
  <si>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</si>
  <si>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</si>
  <si>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</si>
  <si>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</si>
  <si>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</si>
  <si>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</si>
  <si>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</si>
  <si>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</si>
  <si>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</si>
  <si>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</si>
  <si>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</si>
  <si>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</si>
  <si>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</si>
  <si>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</si>
  <si>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</si>
  <si>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</si>
  <si>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</si>
  <si>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</si>
  <si>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</si>
  <si>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</si>
  <si>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</si>
  <si>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</si>
  <si>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</si>
  <si>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</si>
  <si>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</si>
  <si>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</si>
  <si>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</si>
  <si>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</si>
  <si>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</si>
  <si>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</si>
  <si>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</si>
  <si>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</si>
  <si>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</si>
  <si>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</si>
  <si>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</si>
  <si>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</si>
  <si>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</si>
  <si>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</si>
  <si>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</si>
  <si>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</si>
  <si>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</si>
  <si>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</si>
  <si>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</si>
  <si>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</si>
  <si>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</si>
  <si>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</si>
  <si>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</si>
  <si>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</si>
  <si>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</si>
  <si>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</si>
  <si>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</si>
  <si>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</si>
  <si>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</si>
  <si>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</si>
  <si>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</si>
  <si>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</si>
  <si>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</si>
  <si>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</si>
  <si>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</si>
  <si>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</si>
  <si>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</si>
  <si>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</si>
  <si>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</si>
  <si>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</si>
  <si>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</si>
  <si>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</si>
  <si>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</si>
  <si>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</si>
  <si>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</si>
  <si>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</si>
  <si>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</si>
  <si>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</si>
  <si>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</si>
  <si>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</si>
  <si>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</si>
  <si>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</si>
  <si>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</si>
  <si>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</si>
  <si>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</si>
  <si>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</si>
  <si>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</si>
  <si>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</si>
  <si>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</si>
  <si>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</si>
  <si>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</si>
  <si>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</si>
  <si>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</si>
  <si>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</si>
  <si>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</si>
  <si>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</si>
  <si>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</si>
  <si>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</si>
  <si>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</si>
  <si>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</si>
  <si>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</si>
  <si>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</si>
  <si>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</si>
  <si>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</si>
  <si>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</si>
  <si>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</si>
  <si>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</si>
  <si>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</si>
  <si>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</si>
  <si>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</si>
  <si>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</si>
  <si>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</si>
  <si>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</si>
  <si>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</si>
  <si>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</si>
  <si>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</si>
  <si>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</si>
  <si>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</si>
  <si>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</si>
  <si>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</si>
  <si>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</si>
  <si>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</si>
  <si>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</si>
  <si>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</si>
  <si>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</si>
  <si>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</si>
  <si>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</si>
  <si>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</si>
  <si>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</si>
  <si>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</si>
  <si>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</si>
  <si>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</si>
  <si>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</si>
  <si>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</si>
  <si>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</si>
  <si>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</si>
  <si>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</si>
  <si>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</si>
  <si>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</si>
  <si>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</si>
  <si>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</si>
  <si>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</si>
  <si>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</si>
  <si>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</si>
  <si>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</si>
  <si>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</si>
  <si>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</si>
  <si>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</si>
  <si>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</si>
  <si>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</si>
  <si>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</si>
  <si>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</si>
  <si>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</si>
  <si>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</si>
  <si>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</si>
  <si>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</si>
  <si>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</si>
  <si>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</si>
  <si>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</si>
  <si>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</si>
  <si>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</si>
  <si>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</si>
  <si>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</si>
  <si>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</si>
  <si>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</si>
  <si>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</si>
  <si>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</si>
  <si>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</si>
  <si>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</si>
  <si>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</si>
  <si>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</si>
  <si>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</si>
  <si>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</si>
  <si>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</si>
  <si>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</si>
  <si>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</si>
  <si>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</si>
  <si>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</si>
  <si>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</si>
  <si>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</si>
  <si>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</si>
  <si>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</si>
  <si>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</si>
  <si>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</si>
  <si>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</si>
  <si>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</si>
  <si>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</si>
  <si>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</si>
  <si>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</si>
  <si>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</si>
  <si>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</si>
  <si>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</si>
  <si>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</si>
  <si>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</si>
  <si>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</si>
  <si>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</si>
  <si>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</si>
  <si>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</si>
  <si>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</si>
  <si>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</si>
  <si>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</si>
  <si>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</si>
  <si>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</si>
  <si>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</si>
  <si>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</si>
  <si>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</si>
  <si>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</si>
  <si>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</si>
  <si>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</si>
  <si>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</si>
  <si>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</si>
  <si>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</si>
  <si>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</si>
  <si>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</si>
  <si>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</si>
  <si>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</si>
  <si>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</si>
  <si>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</si>
  <si>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</si>
  <si>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</si>
  <si>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</si>
  <si>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</si>
  <si>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</si>
  <si>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</si>
  <si>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</si>
  <si>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</si>
  <si>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</si>
  <si>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</si>
  <si>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</si>
  <si>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</si>
  <si>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</si>
  <si>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</si>
  <si>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</si>
  <si>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</si>
  <si>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</si>
  <si>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</si>
  <si>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</si>
  <si>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</si>
  <si>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</si>
  <si>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</si>
  <si>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</si>
  <si>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</si>
  <si>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</si>
  <si>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</si>
  <si>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</si>
  <si>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</si>
  <si>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</si>
  <si>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</si>
  <si>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</si>
  <si>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</si>
  <si>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</si>
  <si>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</si>
  <si>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</si>
  <si>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</si>
  <si>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</si>
  <si>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</si>
  <si>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</si>
  <si>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</si>
  <si>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</si>
  <si>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</si>
  <si>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</si>
  <si>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</si>
  <si>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</si>
  <si>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</si>
  <si>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</si>
  <si>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</si>
  <si>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</si>
  <si>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</si>
  <si>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</si>
  <si>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</si>
  <si>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</si>
  <si>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</si>
  <si>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</si>
  <si>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</si>
  <si>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</si>
  <si>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</si>
  <si>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</si>
  <si>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</si>
  <si>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</si>
  <si>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</si>
  <si>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</si>
  <si>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</si>
  <si>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</si>
  <si>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</si>
  <si>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</si>
  <si>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</si>
  <si>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</si>
  <si>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</si>
  <si>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</si>
  <si>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</si>
  <si>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</si>
  <si>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</si>
  <si>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</si>
  <si>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</si>
  <si>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</si>
  <si>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</si>
  <si>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</si>
  <si>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</si>
  <si>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</si>
  <si>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</si>
  <si>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</si>
  <si>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</si>
  <si>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</si>
  <si>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</si>
  <si>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</si>
  <si>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</si>
  <si>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</si>
  <si>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</si>
  <si>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</si>
  <si>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</si>
  <si>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</si>
  <si>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</si>
  <si>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</si>
  <si>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</si>
  <si>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</si>
  <si>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</si>
  <si>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</si>
  <si>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</si>
  <si>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</si>
  <si>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</si>
  <si>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</si>
  <si>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</si>
  <si>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</si>
  <si>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</si>
  <si>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</si>
  <si>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</si>
  <si>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</si>
  <si>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</si>
  <si>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</si>
  <si>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</si>
  <si>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</si>
  <si>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</si>
  <si>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</si>
  <si>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</si>
  <si>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</si>
  <si>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</si>
  <si>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</si>
  <si>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</si>
  <si>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</si>
  <si>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</si>
  <si>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</si>
  <si>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</si>
  <si>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</si>
  <si>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</si>
  <si>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</si>
  <si>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</si>
  <si>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</si>
  <si>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</si>
  <si>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</si>
  <si>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</si>
  <si>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</si>
  <si>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</si>
  <si>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</si>
  <si>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</si>
  <si>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</si>
  <si>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</si>
  <si>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</si>
  <si>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</si>
  <si>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</si>
  <si>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</si>
  <si>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</si>
  <si>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</si>
  <si>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</si>
  <si>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</si>
  <si>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</si>
  <si>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</si>
  <si>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</si>
  <si>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</si>
  <si>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</si>
  <si>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</si>
  <si>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</si>
  <si>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</si>
  <si>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</si>
  <si>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</si>
  <si>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</si>
  <si>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</si>
  <si>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</si>
  <si>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</si>
  <si>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</si>
  <si>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</si>
  <si>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</si>
  <si>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</si>
  <si>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</si>
  <si>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</si>
  <si>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</si>
  <si>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</si>
  <si>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</si>
  <si>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</si>
  <si>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</si>
  <si>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</si>
  <si>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</si>
  <si>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</si>
  <si>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</si>
  <si>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</si>
  <si>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</si>
  <si>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</si>
  <si>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</si>
  <si>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</si>
  <si>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</si>
  <si>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</si>
  <si>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</si>
  <si>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</si>
  <si>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</si>
  <si>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</si>
  <si>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</si>
  <si>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</si>
  <si>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</si>
  <si>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</si>
  <si>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</si>
  <si>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</si>
  <si>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</si>
  <si>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</si>
  <si>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</si>
  <si>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</si>
  <si>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</si>
  <si>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</si>
  <si>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</si>
  <si>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</si>
  <si>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</si>
  <si>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</si>
  <si>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</si>
  <si>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</si>
  <si>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</si>
  <si>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</si>
  <si>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</si>
  <si>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</si>
  <si>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</si>
  <si>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</si>
  <si>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</si>
  <si>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</si>
  <si>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</si>
  <si>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</si>
  <si>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</si>
  <si>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</si>
  <si>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</si>
  <si>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</si>
  <si>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</si>
  <si>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</si>
  <si>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</si>
  <si>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</si>
  <si>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</si>
  <si>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</si>
  <si>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</si>
  <si>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</si>
  <si>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</si>
  <si>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</si>
  <si>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</si>
  <si>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</si>
  <si>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</si>
  <si>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</si>
  <si>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</si>
  <si>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</si>
  <si>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</si>
  <si>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</si>
  <si>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</si>
  <si>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</si>
  <si>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</si>
  <si>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</si>
  <si>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</si>
  <si>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</si>
  <si>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</si>
  <si>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</si>
  <si>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</si>
  <si>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</si>
  <si>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</si>
  <si>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</si>
  <si>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</si>
  <si>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</si>
  <si>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</si>
  <si>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</si>
  <si>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</si>
  <si>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</si>
  <si>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</si>
  <si>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</si>
  <si>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</si>
  <si>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</si>
  <si>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</si>
  <si>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</si>
  <si>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</si>
  <si>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</si>
  <si>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</si>
  <si>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</si>
  <si>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</si>
  <si>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</si>
  <si>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</si>
  <si>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</si>
  <si>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</si>
  <si>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</si>
  <si>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</si>
  <si>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</si>
  <si>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</si>
  <si>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</si>
  <si>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</si>
  <si>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</si>
  <si>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</si>
  <si>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</si>
  <si>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</si>
  <si>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</si>
  <si>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</si>
  <si>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</si>
  <si>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</si>
  <si>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</si>
  <si>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</si>
  <si>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</si>
  <si>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</si>
  <si>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</si>
  <si>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</si>
  <si>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</si>
  <si>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</si>
  <si>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</si>
  <si>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</si>
  <si>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</si>
  <si>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</si>
  <si>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</si>
  <si>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</si>
  <si>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</si>
  <si>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</si>
  <si>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</si>
  <si>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</si>
  <si>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</si>
  <si>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</si>
  <si>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</si>
  <si>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</si>
  <si>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</si>
  <si>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</si>
  <si>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</si>
  <si>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</si>
  <si>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</si>
  <si>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</si>
  <si>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</si>
  <si>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</si>
  <si>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</si>
  <si>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</si>
  <si>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</si>
  <si>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</si>
  <si>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</si>
  <si>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</si>
  <si>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</si>
  <si>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</si>
  <si>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</si>
  <si>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</si>
  <si>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</si>
  <si>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</si>
  <si>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</si>
  <si>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</si>
  <si>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</si>
  <si>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</si>
  <si>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</si>
  <si>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</si>
  <si>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</si>
  <si>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</si>
  <si>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</si>
  <si>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</si>
  <si>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</si>
  <si>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</si>
  <si>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</si>
  <si>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</si>
  <si>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</si>
  <si>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</si>
  <si>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</si>
  <si>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</si>
  <si>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</si>
  <si>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</si>
  <si>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</si>
  <si>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</si>
  <si>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</si>
  <si>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</si>
  <si>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</si>
  <si>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</si>
  <si>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</si>
  <si>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</si>
  <si>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</si>
  <si>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</si>
  <si>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</si>
  <si>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</si>
  <si>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</si>
  <si>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</si>
  <si>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</si>
  <si>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</si>
  <si>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</si>
  <si>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</si>
  <si>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</si>
  <si>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</si>
  <si>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</si>
  <si>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</si>
  <si>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</si>
  <si>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</si>
  <si>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</si>
  <si>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</si>
  <si>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</si>
  <si>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</si>
  <si>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</si>
  <si>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</si>
  <si>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</si>
  <si>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</si>
  <si>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</si>
  <si>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</si>
  <si>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</si>
  <si>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</si>
  <si>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</si>
  <si>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</si>
  <si>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</si>
  <si>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</si>
  <si>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</si>
  <si>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</si>
  <si>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</si>
  <si>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</si>
  <si>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</si>
  <si>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</si>
  <si>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</si>
  <si>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</si>
  <si>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</si>
  <si>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</si>
  <si>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</si>
  <si>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</si>
  <si>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</si>
  <si>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</si>
  <si>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</si>
  <si>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</si>
  <si>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</si>
  <si>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</si>
  <si>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</si>
  <si>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</si>
  <si>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</si>
  <si>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</si>
  <si>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</si>
  <si>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</si>
  <si>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</si>
  <si>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</si>
  <si>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</si>
  <si>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</si>
  <si>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</si>
  <si>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</si>
  <si>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</si>
  <si>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</si>
  <si>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</si>
  <si>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</si>
  <si>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</si>
  <si>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</si>
  <si>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</si>
  <si>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</si>
  <si>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</si>
  <si>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</si>
  <si>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</si>
  <si>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</si>
  <si>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</si>
  <si>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</si>
  <si>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</si>
  <si>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</si>
  <si>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</si>
  <si>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</si>
  <si>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</si>
  <si>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</si>
  <si>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</si>
  <si>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</si>
  <si>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</si>
  <si>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</si>
  <si>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</si>
  <si>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</si>
  <si>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</si>
  <si>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</si>
  <si>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</si>
  <si>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</si>
  <si>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</si>
  <si>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</si>
  <si>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</si>
  <si>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</si>
  <si>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</si>
  <si>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</si>
  <si>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</si>
  <si>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</si>
  <si>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</si>
  <si>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</si>
  <si>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</si>
  <si>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</si>
  <si>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</si>
  <si>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</si>
  <si>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</si>
  <si>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</si>
  <si>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</si>
  <si>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</si>
  <si>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</si>
  <si>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</si>
  <si>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</si>
  <si>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</si>
  <si>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</si>
  <si>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</si>
  <si>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</si>
  <si>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</si>
  <si>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</si>
  <si>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</si>
  <si>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</si>
  <si>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</si>
  <si>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</si>
  <si>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</si>
  <si>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</si>
  <si>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</si>
  <si>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</si>
  <si>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</si>
  <si>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</si>
  <si>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</si>
  <si>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</si>
  <si>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</si>
  <si>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</si>
  <si>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</si>
  <si>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</si>
  <si>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</si>
  <si>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</si>
  <si>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</si>
  <si>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</si>
  <si>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</si>
  <si>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</si>
  <si>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</si>
  <si>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</si>
  <si>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</si>
  <si>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</si>
  <si>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</si>
  <si>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</si>
  <si>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</si>
  <si>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</si>
  <si>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</si>
  <si>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</si>
  <si>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</si>
  <si>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</si>
  <si>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</si>
  <si>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</si>
  <si>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</si>
  <si>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</si>
  <si>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</si>
  <si>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</si>
  <si>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</si>
  <si>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</si>
  <si>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</si>
  <si>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</si>
  <si>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</si>
  <si>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</si>
  <si>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</si>
  <si>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</si>
  <si>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</si>
  <si>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</si>
  <si>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</si>
  <si>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</si>
  <si>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</si>
  <si>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</si>
  <si>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</si>
  <si>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</si>
  <si>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</si>
  <si>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</si>
  <si>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</si>
  <si>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</si>
  <si>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</si>
  <si>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</si>
  <si>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</si>
  <si>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</si>
  <si>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</si>
  <si>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</si>
  <si>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</si>
  <si>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</si>
  <si>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</si>
  <si>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</si>
  <si>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</si>
  <si>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</si>
  <si>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</si>
  <si>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</si>
  <si>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</si>
  <si>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</si>
  <si>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</si>
  <si>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</si>
  <si>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</si>
  <si>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</si>
  <si>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</si>
  <si>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</si>
  <si>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</si>
  <si>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</si>
  <si>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</si>
  <si>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</si>
  <si>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</si>
  <si>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</si>
  <si>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</si>
  <si>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</si>
  <si>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</si>
  <si>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</si>
  <si>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</si>
  <si>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</si>
  <si>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</si>
  <si>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</si>
  <si>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</si>
  <si>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</si>
  <si>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</si>
  <si>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</si>
  <si>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</si>
  <si>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</si>
  <si>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</si>
  <si>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</si>
  <si>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</si>
  <si>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</si>
  <si>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</si>
  <si>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</si>
  <si>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</si>
  <si>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</si>
  <si>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</si>
  <si>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</si>
  <si>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</si>
  <si>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</si>
  <si>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</si>
  <si>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</si>
  <si>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</si>
  <si>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</si>
  <si>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</si>
  <si>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</si>
  <si>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</si>
  <si>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</si>
  <si>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</si>
  <si>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</si>
  <si>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</si>
  <si>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</si>
  <si>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</si>
  <si>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</si>
  <si>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</si>
  <si>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</si>
  <si>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</si>
  <si>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</si>
  <si>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</si>
  <si>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</si>
  <si>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</si>
  <si>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</si>
  <si>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</si>
  <si>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</si>
  <si>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</si>
  <si>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</si>
  <si>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</si>
  <si>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</si>
  <si>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</si>
  <si>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</si>
  <si>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</si>
  <si>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</si>
  <si>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</si>
  <si>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</si>
  <si>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</si>
  <si>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</si>
  <si>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</si>
  <si>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</si>
  <si>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</si>
  <si>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</si>
  <si>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</si>
  <si>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</si>
  <si>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</si>
  <si>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</si>
  <si>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</si>
  <si>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</si>
  <si>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</si>
  <si>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</si>
  <si>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</si>
  <si>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</si>
  <si>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</si>
  <si>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</si>
  <si>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</si>
  <si>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</si>
  <si>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</si>
  <si>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</si>
  <si>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</si>
  <si>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</si>
  <si>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</si>
  <si>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</si>
  <si>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</si>
  <si>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</si>
  <si>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</si>
  <si>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</si>
  <si>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</si>
  <si>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</si>
  <si>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</si>
  <si>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</si>
  <si>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</si>
  <si>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</si>
  <si>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</si>
  <si>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</si>
  <si>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</si>
  <si>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</si>
  <si>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</si>
  <si>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</si>
  <si>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</si>
  <si>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</si>
  <si>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</si>
  <si>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</si>
  <si>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</si>
  <si>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</si>
  <si>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</si>
  <si>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</si>
  <si>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</si>
  <si>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</si>
  <si>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</si>
  <si>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</si>
  <si>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</si>
  <si>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</si>
  <si>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</si>
  <si>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</si>
  <si>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</si>
  <si>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</si>
  <si>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</si>
  <si>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</si>
  <si>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</si>
  <si>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</si>
  <si>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</si>
  <si>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</si>
  <si>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</si>
  <si>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</si>
  <si>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</si>
  <si>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</si>
  <si>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</si>
  <si>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</si>
  <si>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</si>
  <si>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</si>
  <si>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</si>
  <si>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</si>
  <si>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</si>
  <si>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</si>
  <si>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</si>
  <si>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</si>
  <si>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</si>
  <si>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</si>
  <si>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</si>
  <si>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</si>
  <si>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</si>
  <si>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</si>
  <si>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</si>
  <si>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</si>
  <si>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</si>
  <si>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</si>
  <si>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</si>
  <si>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</si>
  <si>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</si>
  <si>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</si>
  <si>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</si>
  <si>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</si>
  <si>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</si>
  <si>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</si>
  <si>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</si>
  <si>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</si>
  <si>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</si>
  <si>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</si>
  <si>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</si>
  <si>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</si>
  <si>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</si>
  <si>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</si>
  <si>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</si>
  <si>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</si>
  <si>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</si>
  <si>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</si>
  <si>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</si>
  <si>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</si>
  <si>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</si>
  <si>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</si>
  <si>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</si>
  <si>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</si>
  <si>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</si>
  <si>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</si>
  <si>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</si>
  <si>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</si>
  <si>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</si>
  <si>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</si>
  <si>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</si>
  <si>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</si>
  <si>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</si>
  <si>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</si>
  <si>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</si>
  <si>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</si>
  <si>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</si>
  <si>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</si>
  <si>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</si>
  <si>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</si>
  <si>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</si>
  <si>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</si>
  <si>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</si>
  <si>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</si>
  <si>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</si>
  <si>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</si>
  <si>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</si>
  <si>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</si>
  <si>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</si>
  <si>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</si>
  <si>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</si>
  <si>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</si>
  <si>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</si>
  <si>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</si>
  <si>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</si>
  <si>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</si>
  <si>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</si>
  <si>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</si>
  <si>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</si>
  <si>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</si>
  <si>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</si>
  <si>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</si>
  <si>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</si>
  <si>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</si>
  <si>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</si>
  <si>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</si>
  <si>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</si>
  <si>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</si>
  <si>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</si>
  <si>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</si>
  <si>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</si>
  <si>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</si>
  <si>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</si>
  <si>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</si>
  <si>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</si>
  <si>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</si>
  <si>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</si>
  <si>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</si>
  <si>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</si>
  <si>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</si>
  <si>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</si>
  <si>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</si>
  <si>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</si>
  <si>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</si>
  <si>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</si>
  <si>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</si>
  <si>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</si>
  <si>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</si>
  <si>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</si>
  <si>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</si>
  <si>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</si>
  <si>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</si>
  <si>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</si>
  <si>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</si>
  <si>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</si>
  <si>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</si>
  <si>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</si>
  <si>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</si>
  <si>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</si>
  <si>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</si>
  <si>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</si>
  <si>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</si>
  <si>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</si>
  <si>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</si>
  <si>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</si>
  <si>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</si>
  <si>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</si>
  <si>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</si>
  <si>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</si>
  <si>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</si>
  <si>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</si>
  <si>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</si>
  <si>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</si>
  <si>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</si>
  <si>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</si>
  <si>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</si>
  <si>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</si>
  <si>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</si>
  <si>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</si>
  <si>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</si>
  <si>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</si>
  <si>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</si>
  <si>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</si>
  <si>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</si>
  <si>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</si>
  <si>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</si>
  <si>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</si>
  <si>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</si>
  <si>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</si>
  <si>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</si>
  <si>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</si>
  <si>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</si>
  <si>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</si>
  <si>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</si>
  <si>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</si>
  <si>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</si>
  <si>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</si>
  <si>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</si>
  <si>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</si>
  <si>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</si>
  <si>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</si>
  <si>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</si>
  <si>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</si>
  <si>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</si>
  <si>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</si>
  <si>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</si>
  <si>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</si>
  <si>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</si>
  <si>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</si>
  <si>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</si>
  <si>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</si>
  <si>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</si>
  <si>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</si>
  <si>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</si>
  <si>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</si>
  <si>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</si>
  <si>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</si>
  <si>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</si>
  <si>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</si>
  <si>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</si>
  <si>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</si>
  <si>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</si>
  <si>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</si>
  <si>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</si>
  <si>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</si>
  <si>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</si>
  <si>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</si>
  <si>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</si>
  <si>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</si>
  <si>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</si>
  <si>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</si>
  <si>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</si>
  <si>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</si>
  <si>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</si>
  <si>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</si>
  <si>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</si>
  <si>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</si>
  <si>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</si>
  <si>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</si>
  <si>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</si>
  <si>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</si>
  <si>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</si>
  <si>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</si>
  <si>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</si>
  <si>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</si>
  <si>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</si>
  <si>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</si>
  <si>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</si>
  <si>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</si>
  <si>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</si>
  <si>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</si>
  <si>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</si>
  <si>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</si>
  <si>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</si>
  <si>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</si>
  <si>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</si>
  <si>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</si>
  <si>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</si>
  <si>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</si>
  <si>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</si>
  <si>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</si>
  <si>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</si>
  <si>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</si>
  <si>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</si>
  <si>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</si>
  <si>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</si>
  <si>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</si>
  <si>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</si>
  <si>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</si>
  <si>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</si>
  <si>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</si>
  <si>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</si>
  <si>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</si>
  <si>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</si>
  <si>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</si>
  <si>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</si>
  <si>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</si>
  <si>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</si>
  <si>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</si>
  <si>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</si>
  <si>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</si>
  <si>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</si>
  <si>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</si>
  <si>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</si>
  <si>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</si>
  <si>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</si>
  <si>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</si>
  <si>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</si>
  <si>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</si>
  <si>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</si>
  <si>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</si>
  <si>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</si>
  <si>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</si>
  <si>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</si>
  <si>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</si>
  <si>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</si>
  <si>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</si>
  <si>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</si>
  <si>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</si>
  <si>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</si>
  <si>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</si>
  <si>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</si>
  <si>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</si>
  <si>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</si>
  <si>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</si>
  <si>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</si>
  <si>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</si>
  <si>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</si>
  <si>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</si>
  <si>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</si>
  <si>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</si>
  <si>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</si>
  <si>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</si>
  <si>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</si>
  <si>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</si>
  <si>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</si>
  <si>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</si>
  <si>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</si>
  <si>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</si>
  <si>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</si>
  <si>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</si>
  <si>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</si>
  <si>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</si>
  <si>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</si>
  <si>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</si>
  <si>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</si>
  <si>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</si>
  <si>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</si>
  <si>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</si>
  <si>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</si>
  <si>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</si>
  <si>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</si>
  <si>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</si>
  <si>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</si>
  <si>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</si>
  <si>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</si>
  <si>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</si>
  <si>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</si>
  <si>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</si>
  <si>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</si>
  <si>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</si>
  <si>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</si>
  <si>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</si>
  <si>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</si>
  <si>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</si>
  <si>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</si>
  <si>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</si>
  <si>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</si>
  <si>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</si>
  <si>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</si>
  <si>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</si>
  <si>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</si>
  <si>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</si>
  <si>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</si>
  <si>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</si>
  <si>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</si>
  <si>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</si>
  <si>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</si>
  <si>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</si>
  <si>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</si>
  <si>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</si>
  <si>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</si>
  <si>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</si>
  <si>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</si>
  <si>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</si>
  <si>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</si>
  <si>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</si>
  <si>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</si>
  <si>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</si>
  <si>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</si>
  <si>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</si>
  <si>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</si>
  <si>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</si>
  <si>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</si>
  <si>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</si>
  <si>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</si>
  <si>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</si>
  <si>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</si>
  <si>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</si>
  <si>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</si>
  <si>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</si>
  <si>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</si>
  <si>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</si>
  <si>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</si>
  <si>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</si>
  <si>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</si>
  <si>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</si>
  <si>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</si>
  <si>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</si>
  <si>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</si>
  <si>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</si>
  <si>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</si>
  <si>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</si>
  <si>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</si>
  <si>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</si>
  <si>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</si>
  <si>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</si>
  <si>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</si>
  <si>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</si>
  <si>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</si>
  <si>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</si>
  <si>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</si>
  <si>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</si>
  <si>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</si>
  <si>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</si>
  <si>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</si>
  <si>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</si>
  <si>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</si>
  <si>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</si>
  <si>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</si>
  <si>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</si>
  <si>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</si>
  <si>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</si>
  <si>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</si>
  <si>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</si>
  <si>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</si>
  <si>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</si>
  <si>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</si>
  <si>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</si>
  <si>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</si>
  <si>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</si>
  <si>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</si>
  <si>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</si>
  <si>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</si>
  <si>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</si>
  <si>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</si>
  <si>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</si>
  <si>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</si>
  <si>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</si>
  <si>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</si>
  <si>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</si>
  <si>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</si>
  <si>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</si>
  <si>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</si>
  <si>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</si>
  <si>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</si>
  <si>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</si>
  <si>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</si>
  <si>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</si>
  <si>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</si>
  <si>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</si>
  <si>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</si>
  <si>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</si>
  <si>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</si>
  <si>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</si>
  <si>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</si>
  <si>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</si>
  <si>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</si>
  <si>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</si>
  <si>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</si>
  <si>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</si>
  <si>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</si>
  <si>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</si>
  <si>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</si>
  <si>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</si>
  <si>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</si>
  <si>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</si>
  <si>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</si>
  <si>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</si>
  <si>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</si>
  <si>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</si>
  <si>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</si>
  <si>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</si>
  <si>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</si>
  <si>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</si>
  <si>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</si>
  <si>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</si>
  <si>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</si>
  <si>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</si>
  <si>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</si>
  <si>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</si>
  <si>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</si>
  <si>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</si>
  <si>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</si>
  <si>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</si>
  <si>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</si>
  <si>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</si>
  <si>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</si>
  <si>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</si>
  <si>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</si>
  <si>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</si>
  <si>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</si>
  <si>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</si>
  <si>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</si>
  <si>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</si>
  <si>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</si>
  <si>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</si>
  <si>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</si>
  <si>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</si>
  <si>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</si>
  <si>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</si>
  <si>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</si>
  <si>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</si>
  <si>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</si>
  <si>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</si>
  <si>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</si>
  <si>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</si>
  <si>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</si>
  <si>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</si>
  <si>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</si>
  <si>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</si>
  <si>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</si>
  <si>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</si>
  <si>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</si>
  <si>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</si>
  <si>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</si>
  <si>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</si>
  <si>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</si>
  <si>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</si>
  <si>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</si>
  <si>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</si>
  <si>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</si>
  <si>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</si>
  <si>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</si>
  <si>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</si>
  <si>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</si>
  <si>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</si>
  <si>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</si>
  <si>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</si>
  <si>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</si>
  <si>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</si>
  <si>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</si>
  <si>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</si>
  <si>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</si>
  <si>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</si>
  <si>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</si>
  <si>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</si>
  <si>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</si>
  <si>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</si>
  <si>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</si>
  <si>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</si>
  <si>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</si>
  <si>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</si>
  <si>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</si>
  <si>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</si>
  <si>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</si>
  <si>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</si>
  <si>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</si>
  <si>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</si>
  <si>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</si>
  <si>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</si>
  <si>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</si>
  <si>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</si>
  <si>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</si>
  <si>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</si>
  <si>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</si>
  <si>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</si>
  <si>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</si>
  <si>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</si>
  <si>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</si>
  <si>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</si>
  <si>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</si>
  <si>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</si>
  <si>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</si>
  <si>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</si>
  <si>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</si>
  <si>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</si>
  <si>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</si>
  <si>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</si>
  <si>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</si>
  <si>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</si>
  <si>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</si>
  <si>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</si>
  <si>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</si>
  <si>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</si>
  <si>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</si>
  <si>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</si>
  <si>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</si>
  <si>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</si>
  <si>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</si>
  <si>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</si>
  <si>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</si>
  <si>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</si>
  <si>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</si>
  <si>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</si>
  <si>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</si>
  <si>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</si>
  <si>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</si>
  <si>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</si>
  <si>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</si>
  <si>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</si>
  <si>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</si>
  <si>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</si>
  <si>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</si>
  <si>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</si>
  <si>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</si>
  <si>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</si>
  <si>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</si>
  <si>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</si>
  <si>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</si>
  <si>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</si>
  <si>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</si>
  <si>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</si>
  <si>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</si>
  <si>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</si>
  <si>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</si>
  <si>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</si>
  <si>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</si>
  <si>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</si>
  <si>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</si>
  <si>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</si>
  <si>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</si>
  <si>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</si>
  <si>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</si>
  <si>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</si>
  <si>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</si>
  <si>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</si>
  <si>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</si>
  <si>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</si>
  <si>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</si>
  <si>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</si>
  <si>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</si>
  <si>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</si>
  <si>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</si>
  <si>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</si>
  <si>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</si>
  <si>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</si>
  <si>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</si>
  <si>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</si>
  <si>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</si>
  <si>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</si>
  <si>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</si>
  <si>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</si>
  <si>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</si>
  <si>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</si>
  <si>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</si>
  <si>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</si>
  <si>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</si>
  <si>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</si>
  <si>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</si>
  <si>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</si>
  <si>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</si>
  <si>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</si>
  <si>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</si>
  <si>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</si>
  <si>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</si>
  <si>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</si>
  <si>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</si>
  <si>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</si>
  <si>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</si>
  <si>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</si>
  <si>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</si>
  <si>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</si>
  <si>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</si>
  <si>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</si>
  <si>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</si>
  <si>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</si>
  <si>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</si>
  <si>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</si>
  <si>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</si>
  <si>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</si>
  <si>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</si>
  <si>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</si>
  <si>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</si>
  <si>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</si>
  <si>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</si>
  <si>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</si>
  <si>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</si>
  <si>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</si>
  <si>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</si>
  <si>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</si>
  <si>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</si>
  <si>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</si>
  <si>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</si>
  <si>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</si>
  <si>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</si>
  <si>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</si>
  <si>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</si>
  <si>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</si>
  <si>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</si>
  <si>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</si>
  <si>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</si>
  <si>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</si>
  <si>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</si>
  <si>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</si>
  <si>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</si>
  <si>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</si>
  <si>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</si>
  <si>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</si>
  <si>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</si>
  <si>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</si>
  <si>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</si>
  <si>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</si>
  <si>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</si>
  <si>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</si>
  <si>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</si>
  <si>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</si>
  <si>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</si>
  <si>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</si>
  <si>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</si>
  <si>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</si>
  <si>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</si>
  <si>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</si>
  <si>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</si>
  <si>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</si>
  <si>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</si>
  <si>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</si>
  <si>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</si>
  <si>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</si>
  <si>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</si>
  <si>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</si>
  <si>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</si>
  <si>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</si>
  <si>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</si>
  <si>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</si>
  <si>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</si>
  <si>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</si>
  <si>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</si>
  <si>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</si>
  <si>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</si>
  <si>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</si>
  <si>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</si>
  <si>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</si>
  <si>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2022</t>
  </si>
  <si>
    <t>Apr</t>
  </si>
  <si>
    <t>Years (Order Date)</t>
  </si>
  <si>
    <t>Months (Order Date)</t>
  </si>
  <si>
    <t>2022 Total</t>
  </si>
  <si>
    <t>Robusta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</si>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</sst>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quot;$&quot;#,##0.00"/>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28">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fill>
        <patternFill>
          <bgColor theme="0"/>
        </patternFill>
      </fill>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dxf>
    <dxf>
      <font>
        <b val="0"/>
        <i val="0"/>
        <sz val="11"/>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3" defaultTableStyle="TableStyleMedium2" defaultPivotStyle="PivotStyleMedium9">
    <tableStyle name="Purple Slicer" pivot="0" table="0" count="6" xr9:uid="{16B94CE5-993D-48D4-B3F0-61EEE7498FD4}">
      <tableStyleElement type="wholeTable" dxfId="27"/>
      <tableStyleElement type="headerRow" dxfId="26"/>
    </tableStyle>
    <tableStyle name="Purple Timeline Style" pivot="0" table="0" count="8" xr9:uid="{40C8BB91-5B32-4400-B0CC-593EA8F8A242}">
      <tableStyleElement type="wholeTable" dxfId="25"/>
      <tableStyleElement type="headerRow" dxfId="24"/>
    </tableStyle>
    <tableStyle name="Timeline Style 1" pivot="0" table="0" count="8" xr9:uid="{FE42CB3C-AE99-425F-BDA8-F1CFAD2C2019}">
      <tableStyleElement type="wholeTable" dxfId="23"/>
      <tableStyleElement type="headerRow" dxfId="22"/>
    </tableStyle>
  </tableStyles>
  <colors>
    <mruColors>
      <color rgb="FF3C1464"/>
      <color rgb="FFEADCF8"/>
      <color rgb="FFE0CBF5"/>
      <color rgb="FFCBA8EE"/>
      <color rgb="FFB482E6"/>
      <color rgb="FF3C72C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color theme="0" tint="-0.14996795556505021"/>
            <name val="Calibri"/>
            <family val="2"/>
            <scheme val="minor"/>
          </font>
          <border>
            <left style="thin">
              <color theme="0"/>
            </left>
            <right style="thin">
              <color theme="0"/>
            </right>
            <top style="thin">
              <color theme="0"/>
            </top>
            <bottom style="thin">
              <color theme="0"/>
            </bottom>
          </border>
        </dxf>
        <dxf>
          <font>
            <b/>
            <i val="0"/>
            <color theme="0" tint="-0.14996795556505021"/>
            <name val="Calibri"/>
            <family val="2"/>
            <scheme val="minor"/>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rgb="FFB482E6"/>
            </patternFill>
          </fill>
          <border>
            <left style="thin">
              <color theme="0"/>
            </left>
            <right style="thin">
              <color theme="0"/>
            </right>
            <top style="thin">
              <color theme="0"/>
            </top>
            <bottom style="thin">
              <color theme="0"/>
            </bottom>
          </border>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89667431308228E-2"/>
          <c:y val="0.10977264083551409"/>
          <c:w val="0.80467704204282053"/>
          <c:h val="0.76344680414598254"/>
        </c:manualLayout>
      </c:layout>
      <c:lineChart>
        <c:grouping val="standard"/>
        <c:varyColors val="0"/>
        <c:ser>
          <c:idx val="0"/>
          <c:order val="0"/>
          <c:tx>
            <c:strRef>
              <c:f>'Total Sales'!$C$3:$C$4</c:f>
              <c:strCache>
                <c:ptCount val="1"/>
                <c:pt idx="0">
                  <c:v>Robusta</c:v>
                </c:pt>
              </c:strCache>
            </c:strRef>
          </c:tx>
          <c:spPr>
            <a:ln w="28575" cap="rnd">
              <a:solidFill>
                <a:schemeClr val="accent1"/>
              </a:solidFill>
              <a:round/>
            </a:ln>
            <a:effectLst/>
          </c:spPr>
          <c:marker>
            <c:symbol val="none"/>
          </c:marker>
          <c:cat>
            <c:multiLvlStrRef>
              <c:f>'Total Sales'!$A$5:$B$7</c:f>
              <c:multiLvlStrCache>
                <c:ptCount val="1"/>
                <c:lvl>
                  <c:pt idx="0">
                    <c:v>Apr</c:v>
                  </c:pt>
                </c:lvl>
                <c:lvl>
                  <c:pt idx="0">
                    <c:v>2022</c:v>
                  </c:pt>
                </c:lvl>
              </c:multiLvlStrCache>
            </c:multiLvlStrRef>
          </c:cat>
          <c:val>
            <c:numRef>
              <c:f>'Total Sales'!$C$5:$C$7</c:f>
              <c:numCache>
                <c:formatCode>#,##0</c:formatCode>
                <c:ptCount val="1"/>
                <c:pt idx="0">
                  <c:v>8.9499999999999993</c:v>
                </c:pt>
              </c:numCache>
            </c:numRef>
          </c:val>
          <c:smooth val="0"/>
          <c:extLst>
            <c:ext xmlns:c16="http://schemas.microsoft.com/office/drawing/2014/chart" uri="{C3380CC4-5D6E-409C-BE32-E72D297353CC}">
              <c16:uniqueId val="{00000000-F308-463E-8256-C4EEF3574A4D}"/>
            </c:ext>
          </c:extLst>
        </c:ser>
        <c:dLbls>
          <c:showLegendKey val="0"/>
          <c:showVal val="0"/>
          <c:showCatName val="0"/>
          <c:showSerName val="0"/>
          <c:showPercent val="0"/>
          <c:showBubbleSize val="0"/>
        </c:dLbls>
        <c:smooth val="0"/>
        <c:axId val="507511328"/>
        <c:axId val="577410800"/>
      </c:lineChart>
      <c:catAx>
        <c:axId val="50751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77410800"/>
        <c:crosses val="autoZero"/>
        <c:auto val="1"/>
        <c:lblAlgn val="ctr"/>
        <c:lblOffset val="100"/>
        <c:noMultiLvlLbl val="0"/>
      </c:catAx>
      <c:valAx>
        <c:axId val="577410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751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 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3C1464"/>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482E6"/>
          </a:solidFill>
          <a:ln w="25400">
            <a:solidFill>
              <a:schemeClr val="bg1">
                <a:lumMod val="95000"/>
              </a:schemeClr>
            </a:solidFill>
          </a:ln>
          <a:effectLst/>
        </c:spPr>
      </c:pivotFmt>
      <c:pivotFmt>
        <c:idx val="2"/>
        <c:spPr>
          <a:solidFill>
            <a:srgbClr val="CBA8EE"/>
          </a:solidFill>
          <a:ln w="25400">
            <a:solidFill>
              <a:schemeClr val="bg1">
                <a:lumMod val="95000"/>
              </a:schemeClr>
            </a:solidFill>
          </a:ln>
          <a:effectLst/>
        </c:spPr>
      </c:pivotFmt>
      <c:pivotFmt>
        <c:idx val="3"/>
        <c:spPr>
          <a:solidFill>
            <a:srgbClr val="3C1464"/>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BA8EE"/>
          </a:solidFill>
          <a:ln w="25400">
            <a:solidFill>
              <a:schemeClr val="bg1">
                <a:lumMod val="95000"/>
              </a:schemeClr>
            </a:solidFill>
          </a:ln>
          <a:effectLst/>
        </c:spPr>
      </c:pivotFmt>
      <c:pivotFmt>
        <c:idx val="5"/>
        <c:spPr>
          <a:solidFill>
            <a:srgbClr val="B482E6"/>
          </a:solidFill>
          <a:ln w="25400">
            <a:solidFill>
              <a:schemeClr val="bg1">
                <a:lumMod val="95000"/>
              </a:schemeClr>
            </a:solidFill>
          </a:ln>
          <a:effectLst/>
        </c:spPr>
      </c:pivotFmt>
      <c:pivotFmt>
        <c:idx val="6"/>
        <c:spPr>
          <a:solidFill>
            <a:srgbClr val="3C1464"/>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BA8EE"/>
          </a:solidFill>
          <a:ln w="25400">
            <a:solidFill>
              <a:schemeClr val="bg1">
                <a:lumMod val="95000"/>
              </a:schemeClr>
            </a:solidFill>
          </a:ln>
          <a:effectLst/>
        </c:spPr>
      </c:pivotFmt>
      <c:pivotFmt>
        <c:idx val="8"/>
        <c:spPr>
          <a:solidFill>
            <a:srgbClr val="B482E6"/>
          </a:solidFill>
          <a:ln w="25400">
            <a:solidFill>
              <a:schemeClr val="bg1">
                <a:lumMod val="95000"/>
              </a:schemeClr>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3C1464"/>
            </a:solidFill>
            <a:ln w="25400">
              <a:solidFill>
                <a:schemeClr val="bg1">
                  <a:lumMod val="95000"/>
                </a:schemeClr>
              </a:solidFill>
            </a:ln>
            <a:effectLst/>
          </c:spPr>
          <c:invertIfNegative val="0"/>
          <c:dPt>
            <c:idx val="0"/>
            <c:invertIfNegative val="0"/>
            <c:bubble3D val="0"/>
            <c:spPr>
              <a:solidFill>
                <a:srgbClr val="B482E6"/>
              </a:solidFill>
              <a:ln w="25400">
                <a:solidFill>
                  <a:schemeClr val="bg1">
                    <a:lumMod val="95000"/>
                  </a:schemeClr>
                </a:solidFill>
              </a:ln>
              <a:effectLst/>
            </c:spPr>
            <c:extLst>
              <c:ext xmlns:c16="http://schemas.microsoft.com/office/drawing/2014/chart" uri="{C3380CC4-5D6E-409C-BE32-E72D297353CC}">
                <c16:uniqueId val="{00000001-7DE9-4034-A966-EBEE1EAEE455}"/>
              </c:ext>
            </c:extLst>
          </c:dPt>
          <c:dPt>
            <c:idx val="1"/>
            <c:invertIfNegative val="0"/>
            <c:bubble3D val="0"/>
            <c:extLst>
              <c:ext xmlns:c16="http://schemas.microsoft.com/office/drawing/2014/chart" uri="{C3380CC4-5D6E-409C-BE32-E72D297353CC}">
                <c16:uniqueId val="{00000003-7DE9-4034-A966-EBEE1EAEE455}"/>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Barchart'!$A$4:$A$5</c:f>
              <c:strCache>
                <c:ptCount val="1"/>
                <c:pt idx="0">
                  <c:v>Ireland</c:v>
                </c:pt>
              </c:strCache>
            </c:strRef>
          </c:cat>
          <c:val>
            <c:numRef>
              <c:f>'Country  Barchart'!$B$4:$B$5</c:f>
              <c:numCache>
                <c:formatCode>"$"#,##0</c:formatCode>
                <c:ptCount val="1"/>
                <c:pt idx="0">
                  <c:v>8.9499999999999993</c:v>
                </c:pt>
              </c:numCache>
            </c:numRef>
          </c:val>
          <c:extLst>
            <c:ext xmlns:c16="http://schemas.microsoft.com/office/drawing/2014/chart" uri="{C3380CC4-5D6E-409C-BE32-E72D297353CC}">
              <c16:uniqueId val="{00000004-7DE9-4034-A966-EBEE1EAEE455}"/>
            </c:ext>
          </c:extLst>
        </c:ser>
        <c:dLbls>
          <c:dLblPos val="outEnd"/>
          <c:showLegendKey val="0"/>
          <c:showVal val="1"/>
          <c:showCatName val="0"/>
          <c:showSerName val="0"/>
          <c:showPercent val="0"/>
          <c:showBubbleSize val="0"/>
        </c:dLbls>
        <c:gapWidth val="182"/>
        <c:axId val="1143309408"/>
        <c:axId val="1143310848"/>
      </c:barChart>
      <c:catAx>
        <c:axId val="114330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43310848"/>
        <c:crosses val="autoZero"/>
        <c:auto val="1"/>
        <c:lblAlgn val="ctr"/>
        <c:lblOffset val="100"/>
        <c:noMultiLvlLbl val="0"/>
      </c:catAx>
      <c:valAx>
        <c:axId val="11433108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4330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DCF8"/>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3C1464"/>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482E6"/>
          </a:solidFill>
          <a:ln w="25400">
            <a:solidFill>
              <a:schemeClr val="bg1">
                <a:lumMod val="95000"/>
              </a:schemeClr>
            </a:solidFill>
          </a:ln>
          <a:effectLst/>
        </c:spPr>
      </c:pivotFmt>
      <c:pivotFmt>
        <c:idx val="2"/>
        <c:spPr>
          <a:solidFill>
            <a:srgbClr val="CBA8EE"/>
          </a:solidFill>
          <a:ln w="25400">
            <a:solidFill>
              <a:schemeClr val="bg1">
                <a:lumMod val="95000"/>
              </a:schemeClr>
            </a:solidFill>
          </a:ln>
          <a:effectLst/>
        </c:spPr>
      </c:pivotFmt>
      <c:pivotFmt>
        <c:idx val="3"/>
        <c:spPr>
          <a:solidFill>
            <a:srgbClr val="3C1464"/>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BA8EE"/>
          </a:solidFill>
          <a:ln w="25400">
            <a:solidFill>
              <a:schemeClr val="bg1">
                <a:lumMod val="95000"/>
              </a:schemeClr>
            </a:solidFill>
          </a:ln>
          <a:effectLst/>
        </c:spPr>
      </c:pivotFmt>
      <c:pivotFmt>
        <c:idx val="5"/>
        <c:spPr>
          <a:solidFill>
            <a:srgbClr val="B482E6"/>
          </a:solidFill>
          <a:ln w="25400">
            <a:solidFill>
              <a:schemeClr val="bg1">
                <a:lumMod val="95000"/>
              </a:schemeClr>
            </a:solidFill>
          </a:ln>
          <a:effectLst/>
        </c:spPr>
      </c:pivotFmt>
      <c:pivotFmt>
        <c:idx val="6"/>
        <c:spPr>
          <a:solidFill>
            <a:srgbClr val="3C1464"/>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C1464"/>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3C1464"/>
            </a:solidFill>
            <a:ln w="2540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4368-453A-9D98-AF9C9EDD7483}"/>
              </c:ext>
            </c:extLst>
          </c:dPt>
          <c:dPt>
            <c:idx val="1"/>
            <c:invertIfNegative val="0"/>
            <c:bubble3D val="0"/>
            <c:extLst>
              <c:ext xmlns:c16="http://schemas.microsoft.com/office/drawing/2014/chart" uri="{C3380CC4-5D6E-409C-BE32-E72D297353CC}">
                <c16:uniqueId val="{00000001-4368-453A-9D98-AF9C9EDD7483}"/>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Customers'!$A$4:$A$5</c:f>
              <c:strCache>
                <c:ptCount val="1"/>
                <c:pt idx="0">
                  <c:v>Morly Rocks</c:v>
                </c:pt>
              </c:strCache>
            </c:strRef>
          </c:cat>
          <c:val>
            <c:numRef>
              <c:f>'Top 5 Customers'!$B$4:$B$5</c:f>
              <c:numCache>
                <c:formatCode>"$"#,##0</c:formatCode>
                <c:ptCount val="1"/>
                <c:pt idx="0">
                  <c:v>8.9499999999999993</c:v>
                </c:pt>
              </c:numCache>
            </c:numRef>
          </c:val>
          <c:extLst>
            <c:ext xmlns:c16="http://schemas.microsoft.com/office/drawing/2014/chart" uri="{C3380CC4-5D6E-409C-BE32-E72D297353CC}">
              <c16:uniqueId val="{00000002-4368-453A-9D98-AF9C9EDD7483}"/>
            </c:ext>
          </c:extLst>
        </c:ser>
        <c:dLbls>
          <c:dLblPos val="outEnd"/>
          <c:showLegendKey val="0"/>
          <c:showVal val="1"/>
          <c:showCatName val="0"/>
          <c:showSerName val="0"/>
          <c:showPercent val="0"/>
          <c:showBubbleSize val="0"/>
        </c:dLbls>
        <c:gapWidth val="182"/>
        <c:axId val="1143309408"/>
        <c:axId val="1143310848"/>
      </c:barChart>
      <c:catAx>
        <c:axId val="114330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43310848"/>
        <c:crosses val="autoZero"/>
        <c:auto val="1"/>
        <c:lblAlgn val="ctr"/>
        <c:lblOffset val="100"/>
        <c:noMultiLvlLbl val="0"/>
      </c:catAx>
      <c:valAx>
        <c:axId val="11433108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4330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DCF8"/>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3F000131-5218-9435-596E-5D51FFF53435}"/>
            </a:ext>
          </a:extLst>
        </xdr:cNvPr>
        <xdr:cNvSpPr/>
      </xdr:nvSpPr>
      <xdr:spPr>
        <a:xfrm>
          <a:off x="122296" y="56444"/>
          <a:ext cx="15287037" cy="714963"/>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chemeClr val="bg1"/>
              </a:solidFill>
            </a:rPr>
            <a:t>COFFEE</a:t>
          </a:r>
          <a:r>
            <a:rPr lang="en-US" sz="4000" baseline="0">
              <a:solidFill>
                <a:schemeClr val="bg1"/>
              </a:solidFill>
            </a:rPr>
            <a:t> SALES DASHBOARD</a:t>
          </a:r>
          <a:endParaRPr lang="en-US" sz="4000">
            <a:solidFill>
              <a:schemeClr val="bg1"/>
            </a:solidFill>
          </a:endParaRPr>
        </a:p>
      </xdr:txBody>
    </xdr:sp>
    <xdr:clientData/>
  </xdr:twoCellAnchor>
  <xdr:twoCellAnchor>
    <xdr:from>
      <xdr:col>0</xdr:col>
      <xdr:colOff>92598</xdr:colOff>
      <xdr:row>16</xdr:row>
      <xdr:rowOff>113666</xdr:rowOff>
    </xdr:from>
    <xdr:to>
      <xdr:col>15</xdr:col>
      <xdr:colOff>576943</xdr:colOff>
      <xdr:row>39</xdr:row>
      <xdr:rowOff>0</xdr:rowOff>
    </xdr:to>
    <xdr:graphicFrame macro="">
      <xdr:nvGraphicFramePr>
        <xdr:cNvPr id="3" name="Chart 2">
          <a:extLst>
            <a:ext uri="{FF2B5EF4-FFF2-40B4-BE49-F238E27FC236}">
              <a16:creationId xmlns:a16="http://schemas.microsoft.com/office/drawing/2014/main" id="{E84C2F2C-E1AE-4842-8BE1-4A72455C1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101500</xdr:colOff>
      <xdr:row>5</xdr:row>
      <xdr:rowOff>75261</xdr:rowOff>
    </xdr:from>
    <xdr:to>
      <xdr:col>18</xdr:col>
      <xdr:colOff>141112</xdr:colOff>
      <xdr:row>15</xdr:row>
      <xdr:rowOff>169333</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9427BC59-1D40-44BE-83D9-31C7098F202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1500" y="887228"/>
              <a:ext cx="10570202" cy="19678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244807</xdr:colOff>
      <xdr:row>10</xdr:row>
      <xdr:rowOff>1445</xdr:rowOff>
    </xdr:from>
    <xdr:to>
      <xdr:col>22</xdr:col>
      <xdr:colOff>250371</xdr:colOff>
      <xdr:row>16</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48BD5E04-F67A-44EF-9D9E-0BE14446579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775397" y="1750297"/>
              <a:ext cx="2453958" cy="1122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244592</xdr:colOff>
      <xdr:row>5</xdr:row>
      <xdr:rowOff>75260</xdr:rowOff>
    </xdr:from>
    <xdr:to>
      <xdr:col>26</xdr:col>
      <xdr:colOff>1880</xdr:colOff>
      <xdr:row>9</xdr:row>
      <xdr:rowOff>131704</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3D980422-4A4B-4A50-B012-F5DB664629C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775182" y="887227"/>
              <a:ext cx="4654075" cy="805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291630</xdr:colOff>
      <xdr:row>10</xdr:row>
      <xdr:rowOff>18816</xdr:rowOff>
    </xdr:from>
    <xdr:to>
      <xdr:col>26</xdr:col>
      <xdr:colOff>0</xdr:colOff>
      <xdr:row>16</xdr:row>
      <xdr:rowOff>0</xdr:rowOff>
    </xdr:to>
    <mc:AlternateContent xmlns:mc="http://schemas.openxmlformats.org/markup-compatibility/2006" xmlns:a14="http://schemas.microsoft.com/office/drawing/2010/main">
      <mc:Choice Requires="a14">
        <xdr:graphicFrame macro="">
          <xdr:nvGraphicFramePr>
            <xdr:cNvPr id="7" name="Loyality Card">
              <a:extLst>
                <a:ext uri="{FF2B5EF4-FFF2-40B4-BE49-F238E27FC236}">
                  <a16:creationId xmlns:a16="http://schemas.microsoft.com/office/drawing/2014/main" id="{4F6D753C-1692-4B63-AFB5-9BBB1E1D1577}"/>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mlns="">
        <xdr:sp macro="" textlink="">
          <xdr:nvSpPr>
            <xdr:cNvPr id="0" name=""/>
            <xdr:cNvSpPr>
              <a:spLocks noTextEdit="1"/>
            </xdr:cNvSpPr>
          </xdr:nvSpPr>
          <xdr:spPr>
            <a:xfrm>
              <a:off x="13270614" y="1767668"/>
              <a:ext cx="2156763" cy="1105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54429</xdr:colOff>
      <xdr:row>16</xdr:row>
      <xdr:rowOff>65314</xdr:rowOff>
    </xdr:from>
    <xdr:to>
      <xdr:col>26</xdr:col>
      <xdr:colOff>21771</xdr:colOff>
      <xdr:row>25</xdr:row>
      <xdr:rowOff>10885</xdr:rowOff>
    </xdr:to>
    <xdr:graphicFrame macro="">
      <xdr:nvGraphicFramePr>
        <xdr:cNvPr id="8" name="Chart 7">
          <a:extLst>
            <a:ext uri="{FF2B5EF4-FFF2-40B4-BE49-F238E27FC236}">
              <a16:creationId xmlns:a16="http://schemas.microsoft.com/office/drawing/2014/main" id="{D6B7CCE2-3D76-467E-BA24-1F1AC33FE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54429</xdr:colOff>
      <xdr:row>25</xdr:row>
      <xdr:rowOff>87085</xdr:rowOff>
    </xdr:from>
    <xdr:to>
      <xdr:col>26</xdr:col>
      <xdr:colOff>21771</xdr:colOff>
      <xdr:row>39</xdr:row>
      <xdr:rowOff>21771</xdr:rowOff>
    </xdr:to>
    <xdr:graphicFrame macro="">
      <xdr:nvGraphicFramePr>
        <xdr:cNvPr id="9" name="Chart 8">
          <a:extLst>
            <a:ext uri="{FF2B5EF4-FFF2-40B4-BE49-F238E27FC236}">
              <a16:creationId xmlns:a16="http://schemas.microsoft.com/office/drawing/2014/main" id="{59BCC509-EE2F-44A0-99CA-B7DC149D0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ta Tomar" refreshedDate="46009.84993877315" createdVersion="8" refreshedVersion="8" minRefreshableVersion="3" recordCount="1000" xr:uid="{1DA9129A-6BE3-4769-A963-374381D6524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55391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n v="0"/>
    <x v="1"/>
    <s v="Exc"/>
    <s v="M"/>
    <x v="0"/>
    <n v="13.75"/>
    <n v="27.5"/>
    <x v="1"/>
    <x v="0"/>
    <x v="1"/>
  </r>
  <r>
    <s v="KAC-83089-793"/>
    <x v="2"/>
    <s v="23806-46781-OU"/>
    <s v="R-L-2.5"/>
    <n v="2"/>
    <x v="2"/>
    <n v="0"/>
    <x v="1"/>
    <s v="Rob"/>
    <s v="L"/>
    <x v="2"/>
    <n v="27.484999999999996"/>
    <n v="54.969999999999992"/>
    <x v="0"/>
    <x v="1"/>
    <x v="1"/>
  </r>
  <r>
    <s v="CVP-18956-553"/>
    <x v="3"/>
    <s v="86561-91660-RB"/>
    <s v="L-D-1"/>
    <n v="3"/>
    <x v="3"/>
    <n v="0"/>
    <x v="0"/>
    <s v="Lib"/>
    <s v="D"/>
    <x v="0"/>
    <n v="12.95"/>
    <n v="38.849999999999994"/>
    <x v="3"/>
    <x v="2"/>
    <x v="1"/>
  </r>
  <r>
    <s v="IPP-31994-879"/>
    <x v="4"/>
    <s v="65223-29612-CB"/>
    <s v="E-D-0.5"/>
    <n v="3"/>
    <x v="4"/>
    <s v="slobe6@nifty.com"/>
    <x v="0"/>
    <s v="Exc"/>
    <s v="D"/>
    <x v="1"/>
    <n v="7.29"/>
    <n v="21.87"/>
    <x v="1"/>
    <x v="2"/>
    <x v="0"/>
  </r>
  <r>
    <s v="SNZ-65340-705"/>
    <x v="5"/>
    <s v="21134-81676-FR"/>
    <s v="L-L-0.2"/>
    <n v="1"/>
    <x v="5"/>
    <n v="0"/>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n v="0"/>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n v="0"/>
    <x v="0"/>
    <s v="Lib"/>
    <s v="M"/>
    <x v="3"/>
    <n v="4.3650000000000002"/>
    <n v="21.825000000000003"/>
    <x v="3"/>
    <x v="0"/>
    <x v="1"/>
  </r>
  <r>
    <s v="WOQ-36015-429"/>
    <x v="24"/>
    <s v="51427-89175-QJ"/>
    <s v="A-D-0.5"/>
    <n v="6"/>
    <x v="27"/>
    <n v="0"/>
    <x v="0"/>
    <s v="Ara"/>
    <s v="D"/>
    <x v="1"/>
    <n v="5.97"/>
    <n v="35.82"/>
    <x v="2"/>
    <x v="2"/>
    <x v="1"/>
  </r>
  <r>
    <s v="WOQ-36015-429"/>
    <x v="24"/>
    <s v="51427-89175-QJ"/>
    <s v="L-M-0.5"/>
    <n v="6"/>
    <x v="27"/>
    <n v="0"/>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n v="0"/>
    <x v="0"/>
    <s v="Rob"/>
    <s v="M"/>
    <x v="0"/>
    <n v="9.9499999999999993"/>
    <n v="59.699999999999996"/>
    <x v="0"/>
    <x v="0"/>
    <x v="0"/>
  </r>
  <r>
    <s v="LUO-37559-016"/>
    <x v="32"/>
    <s v="21240-83132-SP"/>
    <s v="L-M-1"/>
    <n v="3"/>
    <x v="35"/>
    <n v="0"/>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n v="0"/>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n v="0"/>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n v="0"/>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n v="0"/>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n v="0"/>
    <x v="2"/>
    <s v="Rob"/>
    <s v="D"/>
    <x v="1"/>
    <n v="5.3699999999999992"/>
    <n v="26.849999999999994"/>
    <x v="0"/>
    <x v="2"/>
    <x v="0"/>
  </r>
  <r>
    <s v="EEJ-16185-108"/>
    <x v="53"/>
    <s v="65552-60476-KY"/>
    <s v="L-L-0.2"/>
    <n v="5"/>
    <x v="56"/>
    <n v="0"/>
    <x v="0"/>
    <s v="Lib"/>
    <s v="L"/>
    <x v="3"/>
    <n v="4.7549999999999999"/>
    <n v="23.774999999999999"/>
    <x v="3"/>
    <x v="1"/>
    <x v="0"/>
  </r>
  <r>
    <s v="RWR-77888-800"/>
    <x v="54"/>
    <s v="69904-02729-YS"/>
    <s v="A-M-0.5"/>
    <n v="1"/>
    <x v="57"/>
    <s v="adykes1r@eventbrite.com"/>
    <x v="0"/>
    <s v="Ara"/>
    <s v="M"/>
    <x v="1"/>
    <n v="6.75"/>
    <n v="6.75"/>
    <x v="2"/>
    <x v="0"/>
    <x v="1"/>
  </r>
  <r>
    <s v="LHN-75209-742"/>
    <x v="55"/>
    <s v="01433-04270-AX"/>
    <s v="R-M-0.5"/>
    <n v="6"/>
    <x v="58"/>
    <n v="0"/>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n v="0"/>
    <x v="0"/>
    <s v="Ara"/>
    <s v="M"/>
    <x v="2"/>
    <n v="25.874999999999996"/>
    <n v="77.624999999999986"/>
    <x v="2"/>
    <x v="0"/>
    <x v="1"/>
  </r>
  <r>
    <s v="LEF-83057-763"/>
    <x v="64"/>
    <s v="15395-90855-VB"/>
    <s v="L-M-0.2"/>
    <n v="5"/>
    <x v="67"/>
    <n v="0"/>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n v="0"/>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n v="0"/>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n v="0"/>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n v="0"/>
    <x v="0"/>
    <s v="Exc"/>
    <s v="L"/>
    <x v="0"/>
    <n v="14.85"/>
    <n v="44.55"/>
    <x v="1"/>
    <x v="1"/>
    <x v="0"/>
  </r>
  <r>
    <s v="YWH-50638-556"/>
    <x v="83"/>
    <s v="89442-35633-HJ"/>
    <s v="E-L-0.5"/>
    <n v="4"/>
    <x v="86"/>
    <s v="elangcaster2l@spotify.com"/>
    <x v="2"/>
    <s v="Exc"/>
    <s v="L"/>
    <x v="1"/>
    <n v="8.91"/>
    <n v="35.64"/>
    <x v="1"/>
    <x v="1"/>
    <x v="0"/>
  </r>
  <r>
    <s v="ISL-11200-600"/>
    <x v="84"/>
    <s v="13654-85265-IL"/>
    <s v="A-D-0.2"/>
    <n v="6"/>
    <x v="87"/>
    <n v="0"/>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n v="0"/>
    <x v="1"/>
    <s v="Ara"/>
    <s v="D"/>
    <x v="3"/>
    <n v="2.9849999999999999"/>
    <n v="2.9849999999999999"/>
    <x v="2"/>
    <x v="2"/>
    <x v="1"/>
  </r>
  <r>
    <s v="DBC-44122-300"/>
    <x v="88"/>
    <s v="13366-78506-KP"/>
    <s v="L-M-0.2"/>
    <n v="3"/>
    <x v="92"/>
    <n v="0"/>
    <x v="0"/>
    <s v="Lib"/>
    <s v="M"/>
    <x v="3"/>
    <n v="4.3650000000000002"/>
    <n v="13.095000000000001"/>
    <x v="3"/>
    <x v="0"/>
    <x v="0"/>
  </r>
  <r>
    <s v="FJQ-60035-234"/>
    <x v="89"/>
    <s v="08847-29858-HN"/>
    <s v="A-L-0.2"/>
    <n v="2"/>
    <x v="93"/>
    <n v="0"/>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n v="0"/>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n v="0"/>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n v="0"/>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n v="0"/>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n v="0"/>
    <x v="1"/>
    <s v="Exc"/>
    <s v="L"/>
    <x v="2"/>
    <n v="34.154999999999994"/>
    <n v="102.46499999999997"/>
    <x v="1"/>
    <x v="1"/>
    <x v="1"/>
  </r>
  <r>
    <s v="PPP-78935-365"/>
    <x v="123"/>
    <s v="91074-60023-IP"/>
    <s v="E-D-1"/>
    <n v="4"/>
    <x v="129"/>
    <n v="0"/>
    <x v="0"/>
    <s v="Exc"/>
    <s v="D"/>
    <x v="0"/>
    <n v="12.15"/>
    <n v="48.6"/>
    <x v="1"/>
    <x v="2"/>
    <x v="1"/>
  </r>
  <r>
    <s v="JUO-34131-517"/>
    <x v="124"/>
    <s v="07972-83748-JI"/>
    <s v="L-D-1"/>
    <n v="6"/>
    <x v="130"/>
    <n v="0"/>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n v="0"/>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n v="0"/>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n v="0"/>
    <x v="0"/>
    <s v="Ara"/>
    <s v="M"/>
    <x v="0"/>
    <n v="11.25"/>
    <n v="33.75"/>
    <x v="2"/>
    <x v="0"/>
    <x v="0"/>
  </r>
  <r>
    <s v="JQK-64922-985"/>
    <x v="113"/>
    <s v="23779-10274-KN"/>
    <s v="R-M-2.5"/>
    <n v="3"/>
    <x v="142"/>
    <s v="bleffek48@ning.com"/>
    <x v="0"/>
    <s v="Rob"/>
    <s v="M"/>
    <x v="2"/>
    <n v="22.884999999999998"/>
    <n v="68.655000000000001"/>
    <x v="0"/>
    <x v="0"/>
    <x v="0"/>
  </r>
  <r>
    <s v="YET-17732-678"/>
    <x v="135"/>
    <s v="57235-92842-DK"/>
    <s v="R-D-0.2"/>
    <n v="1"/>
    <x v="143"/>
    <n v="0"/>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n v="0"/>
    <x v="0"/>
    <s v="Rob"/>
    <s v="D"/>
    <x v="2"/>
    <n v="20.584999999999997"/>
    <n v="123.50999999999999"/>
    <x v="0"/>
    <x v="2"/>
    <x v="0"/>
  </r>
  <r>
    <s v="TME-59627-221"/>
    <x v="140"/>
    <s v="72282-40594-RX"/>
    <s v="L-L-2.5"/>
    <n v="6"/>
    <x v="149"/>
    <n v="0"/>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n v="0"/>
    <x v="0"/>
    <s v="Rob"/>
    <s v="D"/>
    <x v="0"/>
    <n v="8.9499999999999993"/>
    <n v="53.699999999999996"/>
    <x v="0"/>
    <x v="2"/>
    <x v="0"/>
  </r>
  <r>
    <s v="EIL-44855-309"/>
    <x v="147"/>
    <s v="59741-90220-OW"/>
    <s v="R-D-0.5"/>
    <n v="5"/>
    <x v="156"/>
    <n v="0"/>
    <x v="0"/>
    <s v="Rob"/>
    <s v="D"/>
    <x v="1"/>
    <n v="5.3699999999999992"/>
    <n v="26.849999999999994"/>
    <x v="0"/>
    <x v="2"/>
    <x v="0"/>
  </r>
  <r>
    <s v="HCA-87224-420"/>
    <x v="148"/>
    <s v="62682-27930-PD"/>
    <s v="E-M-0.5"/>
    <n v="5"/>
    <x v="157"/>
    <s v="tfero4n@comsenz.com"/>
    <x v="0"/>
    <s v="Exc"/>
    <s v="M"/>
    <x v="1"/>
    <n v="8.25"/>
    <n v="41.25"/>
    <x v="1"/>
    <x v="0"/>
    <x v="0"/>
  </r>
  <r>
    <s v="ABO-29054-365"/>
    <x v="149"/>
    <s v="00256-19905-YG"/>
    <s v="A-M-0.5"/>
    <n v="6"/>
    <x v="158"/>
    <n v="0"/>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n v="0"/>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n v="0"/>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n v="0"/>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n v="0"/>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n v="0"/>
    <x v="0"/>
    <s v="Exc"/>
    <s v="M"/>
    <x v="0"/>
    <n v="13.75"/>
    <n v="82.5"/>
    <x v="1"/>
    <x v="0"/>
    <x v="1"/>
  </r>
  <r>
    <s v="TJG-73587-353"/>
    <x v="175"/>
    <s v="24766-58139-GT"/>
    <s v="R-D-0.2"/>
    <n v="3"/>
    <x v="190"/>
    <n v="0"/>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n v="0"/>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n v="0"/>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n v="0"/>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n v="0"/>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n v="0"/>
    <x v="0"/>
    <s v="Ara"/>
    <s v="M"/>
    <x v="2"/>
    <n v="25.874999999999996"/>
    <n v="155.24999999999997"/>
    <x v="2"/>
    <x v="0"/>
    <x v="0"/>
  </r>
  <r>
    <s v="AHV-66988-037"/>
    <x v="208"/>
    <s v="12743-00952-KO"/>
    <s v="R-M-2.5"/>
    <n v="2"/>
    <x v="225"/>
    <n v="0"/>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n v="0"/>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n v="0"/>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n v="0"/>
    <x v="0"/>
    <s v="Lib"/>
    <s v="M"/>
    <x v="2"/>
    <n v="33.464999999999996"/>
    <n v="133.85999999999999"/>
    <x v="3"/>
    <x v="0"/>
    <x v="1"/>
  </r>
  <r>
    <s v="VZH-86274-142"/>
    <x v="226"/>
    <s v="53120-45532-KL"/>
    <s v="R-L-1"/>
    <n v="5"/>
    <x v="247"/>
    <n v="0"/>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n v="0"/>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n v="0"/>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n v="0"/>
    <x v="0"/>
    <s v="Exc"/>
    <s v="M"/>
    <x v="2"/>
    <n v="31.624999999999996"/>
    <n v="94.874999999999986"/>
    <x v="1"/>
    <x v="0"/>
    <x v="1"/>
  </r>
  <r>
    <s v="BYZ-39669-954"/>
    <x v="243"/>
    <s v="66408-53777-VE"/>
    <s v="L-L-2.5"/>
    <n v="1"/>
    <x v="267"/>
    <n v="0"/>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n v="0"/>
    <x v="1"/>
    <s v="Exc"/>
    <s v="M"/>
    <x v="1"/>
    <n v="8.25"/>
    <n v="8.25"/>
    <x v="1"/>
    <x v="0"/>
    <x v="0"/>
  </r>
  <r>
    <s v="DFK-35846-692"/>
    <x v="247"/>
    <s v="49612-33852-CN"/>
    <s v="R-D-0.2"/>
    <n v="5"/>
    <x v="271"/>
    <n v="0"/>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n v="0"/>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n v="0"/>
    <x v="0"/>
    <s v="Exc"/>
    <s v="L"/>
    <x v="0"/>
    <n v="14.85"/>
    <n v="44.55"/>
    <x v="1"/>
    <x v="1"/>
    <x v="1"/>
  </r>
  <r>
    <s v="ULM-49433-003"/>
    <x v="252"/>
    <s v="99421-80253-UI"/>
    <s v="E-M-1"/>
    <n v="2"/>
    <x v="277"/>
    <n v="0"/>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n v="0"/>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n v="0"/>
    <x v="0"/>
    <s v="Exc"/>
    <s v="M"/>
    <x v="0"/>
    <n v="13.75"/>
    <n v="13.75"/>
    <x v="1"/>
    <x v="0"/>
    <x v="1"/>
  </r>
  <r>
    <s v="IBW-87442-480"/>
    <x v="272"/>
    <s v="79814-23626-JR"/>
    <s v="A-L-2.5"/>
    <n v="1"/>
    <x v="305"/>
    <s v="tle91@epa.gov"/>
    <x v="0"/>
    <s v="Ara"/>
    <s v="L"/>
    <x v="2"/>
    <n v="29.784999999999997"/>
    <n v="29.784999999999997"/>
    <x v="2"/>
    <x v="1"/>
    <x v="0"/>
  </r>
  <r>
    <s v="DGZ-82537-477"/>
    <x v="252"/>
    <s v="43439-94003-DW"/>
    <s v="R-D-1"/>
    <n v="5"/>
    <x v="306"/>
    <n v="0"/>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n v="0"/>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n v="0"/>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n v="0"/>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n v="0"/>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n v="0"/>
    <x v="0"/>
    <s v="Exc"/>
    <s v="D"/>
    <x v="1"/>
    <n v="7.29"/>
    <n v="36.450000000000003"/>
    <x v="1"/>
    <x v="2"/>
    <x v="1"/>
  </r>
  <r>
    <s v="UEB-09112-118"/>
    <x v="297"/>
    <s v="82718-93677-XO"/>
    <s v="A-M-0.5"/>
    <n v="4"/>
    <x v="329"/>
    <n v="0"/>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n v="0"/>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n v="0"/>
    <x v="0"/>
    <s v="Exc"/>
    <s v="D"/>
    <x v="1"/>
    <n v="7.29"/>
    <n v="43.74"/>
    <x v="1"/>
    <x v="2"/>
    <x v="1"/>
  </r>
  <r>
    <s v="DGL-29648-995"/>
    <x v="307"/>
    <s v="59367-30821-ZQ"/>
    <s v="L-M-0.2"/>
    <n v="2"/>
    <x v="342"/>
    <n v="0"/>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n v="0"/>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n v="0"/>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n v="0"/>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n v="0"/>
    <x v="0"/>
    <s v="Exc"/>
    <s v="L"/>
    <x v="1"/>
    <n v="8.91"/>
    <n v="53.46"/>
    <x v="1"/>
    <x v="1"/>
    <x v="0"/>
  </r>
  <r>
    <s v="UBW-50312-037"/>
    <x v="321"/>
    <s v="69503-12127-YD"/>
    <s v="A-L-2.5"/>
    <n v="4"/>
    <x v="358"/>
    <n v="0"/>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n v="0"/>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n v="0"/>
    <x v="1"/>
    <s v="Exc"/>
    <s v="M"/>
    <x v="1"/>
    <n v="8.25"/>
    <n v="49.5"/>
    <x v="1"/>
    <x v="0"/>
    <x v="1"/>
  </r>
  <r>
    <s v="WKL-27981-758"/>
    <x v="177"/>
    <s v="73699-93557-FZ"/>
    <s v="A-M-2.5"/>
    <n v="2"/>
    <x v="381"/>
    <s v="fmiellbc@spiegel.de"/>
    <x v="0"/>
    <s v="Ara"/>
    <s v="M"/>
    <x v="2"/>
    <n v="25.874999999999996"/>
    <n v="51.749999999999993"/>
    <x v="2"/>
    <x v="0"/>
    <x v="0"/>
  </r>
  <r>
    <s v="VRT-39834-265"/>
    <x v="341"/>
    <s v="86686-37462-CK"/>
    <s v="L-L-1"/>
    <n v="3"/>
    <x v="382"/>
    <n v="0"/>
    <x v="1"/>
    <s v="Lib"/>
    <s v="L"/>
    <x v="0"/>
    <n v="15.85"/>
    <n v="47.55"/>
    <x v="3"/>
    <x v="1"/>
    <x v="0"/>
  </r>
  <r>
    <s v="QTC-71005-730"/>
    <x v="342"/>
    <s v="14298-02150-KH"/>
    <s v="A-L-0.2"/>
    <n v="4"/>
    <x v="383"/>
    <n v="0"/>
    <x v="0"/>
    <s v="Ara"/>
    <s v="L"/>
    <x v="3"/>
    <n v="3.8849999999999998"/>
    <n v="15.54"/>
    <x v="2"/>
    <x v="1"/>
    <x v="1"/>
  </r>
  <r>
    <s v="TNX-09857-717"/>
    <x v="343"/>
    <s v="48675-07824-HJ"/>
    <s v="L-M-1"/>
    <n v="6"/>
    <x v="384"/>
    <n v="0"/>
    <x v="0"/>
    <s v="Lib"/>
    <s v="M"/>
    <x v="0"/>
    <n v="14.55"/>
    <n v="87.300000000000011"/>
    <x v="3"/>
    <x v="0"/>
    <x v="0"/>
  </r>
  <r>
    <s v="JZV-43874-185"/>
    <x v="344"/>
    <s v="18551-80943-YQ"/>
    <s v="A-M-1"/>
    <n v="5"/>
    <x v="385"/>
    <n v="0"/>
    <x v="0"/>
    <s v="Ara"/>
    <s v="M"/>
    <x v="0"/>
    <n v="11.25"/>
    <n v="56.25"/>
    <x v="2"/>
    <x v="0"/>
    <x v="0"/>
  </r>
  <r>
    <s v="ICF-17486-106"/>
    <x v="47"/>
    <s v="19196-09748-DB"/>
    <s v="L-L-2.5"/>
    <n v="1"/>
    <x v="386"/>
    <s v="wspringallbh@jugem.jp"/>
    <x v="0"/>
    <s v="Lib"/>
    <s v="L"/>
    <x v="2"/>
    <n v="36.454999999999998"/>
    <n v="36.454999999999998"/>
    <x v="3"/>
    <x v="1"/>
    <x v="0"/>
  </r>
  <r>
    <s v="BMK-49520-383"/>
    <x v="345"/>
    <s v="72233-08665-IP"/>
    <s v="R-L-0.2"/>
    <n v="3"/>
    <x v="387"/>
    <n v="0"/>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n v="0"/>
    <x v="0"/>
    <s v="Ara"/>
    <s v="L"/>
    <x v="1"/>
    <n v="7.77"/>
    <n v="23.31"/>
    <x v="2"/>
    <x v="1"/>
    <x v="0"/>
  </r>
  <r>
    <s v="KJJ-12573-591"/>
    <x v="347"/>
    <s v="12997-41076-FQ"/>
    <s v="A-L-2.5"/>
    <n v="1"/>
    <x v="390"/>
    <n v="0"/>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n v="0"/>
    <x v="0"/>
    <s v="Ara"/>
    <s v="D"/>
    <x v="1"/>
    <n v="5.97"/>
    <n v="29.849999999999998"/>
    <x v="2"/>
    <x v="2"/>
    <x v="1"/>
  </r>
  <r>
    <s v="CYH-53243-218"/>
    <x v="237"/>
    <s v="88167-57964-PH"/>
    <s v="R-M-0.5"/>
    <n v="3"/>
    <x v="394"/>
    <n v="0"/>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n v="0"/>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n v="0"/>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n v="0"/>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n v="0"/>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n v="0"/>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n v="0"/>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n v="0"/>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n v="0"/>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n v="0"/>
    <x v="1"/>
    <s v="Rob"/>
    <s v="D"/>
    <x v="3"/>
    <n v="2.6849999999999996"/>
    <n v="8.0549999999999997"/>
    <x v="0"/>
    <x v="2"/>
    <x v="0"/>
  </r>
  <r>
    <s v="JIG-27636-870"/>
    <x v="402"/>
    <s v="67204-04870-LG"/>
    <s v="R-L-1"/>
    <n v="4"/>
    <x v="466"/>
    <n v="0"/>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n v="0"/>
    <x v="0"/>
    <s v="Rob"/>
    <s v="D"/>
    <x v="2"/>
    <n v="20.584999999999997"/>
    <n v="102.92499999999998"/>
    <x v="0"/>
    <x v="2"/>
    <x v="0"/>
  </r>
  <r>
    <s v="DGC-21813-731"/>
    <x v="127"/>
    <s v="43606-83072-OA"/>
    <s v="L-D-0.2"/>
    <n v="2"/>
    <x v="479"/>
    <n v="0"/>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n v="0"/>
    <x v="0"/>
    <s v="Lib"/>
    <s v="L"/>
    <x v="2"/>
    <n v="36.454999999999998"/>
    <n v="72.91"/>
    <x v="3"/>
    <x v="1"/>
    <x v="1"/>
  </r>
  <r>
    <s v="ITR-54735-364"/>
    <x v="416"/>
    <s v="92599-58687-CS"/>
    <s v="R-D-0.2"/>
    <n v="5"/>
    <x v="485"/>
    <n v="0"/>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n v="0"/>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n v="0"/>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n v="0"/>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n v="0"/>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n v="0"/>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n v="0"/>
    <x v="0"/>
    <s v="Lib"/>
    <s v="D"/>
    <x v="3"/>
    <n v="3.8849999999999998"/>
    <n v="15.54"/>
    <x v="3"/>
    <x v="2"/>
    <x v="0"/>
  </r>
  <r>
    <s v="ICC-73030-502"/>
    <x v="435"/>
    <s v="59480-02795-IU"/>
    <s v="A-L-1"/>
    <n v="3"/>
    <x v="516"/>
    <s v="raynoldfj@ustream.tv"/>
    <x v="0"/>
    <s v="Ara"/>
    <s v="L"/>
    <x v="0"/>
    <n v="12.95"/>
    <n v="38.849999999999994"/>
    <x v="2"/>
    <x v="1"/>
    <x v="0"/>
  </r>
  <r>
    <s v="ADP-04506-084"/>
    <x v="436"/>
    <s v="61809-87758-LJ"/>
    <s v="E-M-2.5"/>
    <n v="6"/>
    <x v="517"/>
    <n v="0"/>
    <x v="0"/>
    <s v="Exc"/>
    <s v="M"/>
    <x v="2"/>
    <n v="31.624999999999996"/>
    <n v="189.74999999999997"/>
    <x v="1"/>
    <x v="0"/>
    <x v="0"/>
  </r>
  <r>
    <s v="PNU-22150-408"/>
    <x v="437"/>
    <s v="77408-43873-RS"/>
    <s v="A-D-0.2"/>
    <n v="6"/>
    <x v="518"/>
    <n v="0"/>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n v="0"/>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n v="0"/>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n v="0"/>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n v="0"/>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n v="0"/>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n v="0"/>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n v="0"/>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n v="0"/>
    <x v="1"/>
    <s v="Ara"/>
    <s v="M"/>
    <x v="3"/>
    <n v="3.375"/>
    <n v="13.5"/>
    <x v="2"/>
    <x v="0"/>
    <x v="1"/>
  </r>
  <r>
    <s v="DYP-74337-787"/>
    <x v="431"/>
    <s v="41486-52502-QQ"/>
    <s v="R-M-0.5"/>
    <n v="1"/>
    <x v="565"/>
    <n v="0"/>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n v="0"/>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n v="0"/>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n v="0"/>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n v="0"/>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n v="0"/>
    <x v="0"/>
    <s v="Lib"/>
    <s v="D"/>
    <x v="2"/>
    <n v="29.784999999999997"/>
    <n v="119.13999999999999"/>
    <x v="3"/>
    <x v="2"/>
    <x v="0"/>
  </r>
  <r>
    <s v="EZL-27919-704"/>
    <x v="481"/>
    <s v="49480-85909-DG"/>
    <s v="L-L-0.5"/>
    <n v="5"/>
    <x v="621"/>
    <n v="0"/>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n v="0"/>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n v="0"/>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n v="0"/>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n v="0"/>
    <x v="1"/>
    <s v="Lib"/>
    <s v="D"/>
    <x v="2"/>
    <n v="29.784999999999997"/>
    <n v="119.13999999999999"/>
    <x v="3"/>
    <x v="2"/>
    <x v="0"/>
  </r>
  <r>
    <s v="CWT-27056-328"/>
    <x v="531"/>
    <s v="18570-80998-ZS"/>
    <s v="E-D-0.2"/>
    <n v="6"/>
    <x v="648"/>
    <n v="0"/>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n v="0"/>
    <x v="1"/>
    <s v="Lib"/>
    <s v="D"/>
    <x v="0"/>
    <n v="12.95"/>
    <n v="25.9"/>
    <x v="3"/>
    <x v="2"/>
    <x v="1"/>
  </r>
  <r>
    <s v="BLI-21697-702"/>
    <x v="534"/>
    <s v="21141-12455-VB"/>
    <s v="A-M-0.5"/>
    <n v="2"/>
    <x v="652"/>
    <s v="sdejo@newsvine.com"/>
    <x v="0"/>
    <s v="Ara"/>
    <s v="M"/>
    <x v="1"/>
    <n v="6.75"/>
    <n v="13.5"/>
    <x v="2"/>
    <x v="0"/>
    <x v="0"/>
  </r>
  <r>
    <s v="KFJ-46568-890"/>
    <x v="535"/>
    <s v="71003-85639-HB"/>
    <s v="E-L-0.5"/>
    <n v="2"/>
    <x v="653"/>
    <n v="0"/>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n v="0"/>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n v="0"/>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n v="0"/>
    <x v="0"/>
    <s v="Ara"/>
    <s v="M"/>
    <x v="3"/>
    <n v="3.375"/>
    <n v="6.75"/>
    <x v="2"/>
    <x v="0"/>
    <x v="0"/>
  </r>
  <r>
    <s v="ATY-28980-884"/>
    <x v="117"/>
    <s v="50705-17295-NK"/>
    <s v="A-L-0.2"/>
    <n v="6"/>
    <x v="668"/>
    <s v="caleixok5@globo.com"/>
    <x v="0"/>
    <s v="Ara"/>
    <s v="L"/>
    <x v="3"/>
    <n v="3.8849999999999998"/>
    <n v="23.31"/>
    <x v="2"/>
    <x v="1"/>
    <x v="1"/>
  </r>
  <r>
    <s v="SWP-88281-918"/>
    <x v="543"/>
    <s v="77657-61366-FY"/>
    <s v="L-L-2.5"/>
    <n v="4"/>
    <x v="669"/>
    <n v="0"/>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n v="0"/>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n v="0"/>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n v="0"/>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n v="0"/>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n v="0"/>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n v="0"/>
    <x v="0"/>
    <s v="Exc"/>
    <s v="M"/>
    <x v="0"/>
    <n v="13.75"/>
    <n v="82.5"/>
    <x v="1"/>
    <x v="0"/>
    <x v="1"/>
  </r>
  <r>
    <s v="BZE-96093-118"/>
    <x v="91"/>
    <s v="43452-18035-DH"/>
    <s v="L-M-0.2"/>
    <n v="2"/>
    <x v="711"/>
    <s v="afilipczaklh@ning.com"/>
    <x v="1"/>
    <s v="Lib"/>
    <s v="M"/>
    <x v="3"/>
    <n v="4.3650000000000002"/>
    <n v="8.73"/>
    <x v="3"/>
    <x v="0"/>
    <x v="1"/>
  </r>
  <r>
    <s v="LOU-41819-242"/>
    <x v="272"/>
    <s v="88060-50676-MV"/>
    <s v="R-M-1"/>
    <n v="2"/>
    <x v="712"/>
    <n v="0"/>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n v="0"/>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n v="0"/>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n v="0"/>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n v="0"/>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n v="0"/>
    <x v="2"/>
    <s v="Rob"/>
    <s v="L"/>
    <x v="0"/>
    <n v="11.95"/>
    <n v="23.9"/>
    <x v="0"/>
    <x v="1"/>
    <x v="1"/>
  </r>
  <r>
    <s v="XNU-83276-288"/>
    <x v="595"/>
    <s v="98185-92775-KT"/>
    <s v="R-M-0.5"/>
    <n v="1"/>
    <x v="742"/>
    <n v="0"/>
    <x v="0"/>
    <s v="Rob"/>
    <s v="M"/>
    <x v="1"/>
    <n v="5.97"/>
    <n v="5.97"/>
    <x v="0"/>
    <x v="0"/>
    <x v="1"/>
  </r>
  <r>
    <s v="YOG-94666-679"/>
    <x v="596"/>
    <s v="86991-53901-AT"/>
    <s v="L-D-0.2"/>
    <n v="2"/>
    <x v="743"/>
    <n v="0"/>
    <x v="2"/>
    <s v="Lib"/>
    <s v="D"/>
    <x v="3"/>
    <n v="3.8849999999999998"/>
    <n v="7.77"/>
    <x v="3"/>
    <x v="2"/>
    <x v="0"/>
  </r>
  <r>
    <s v="KHG-33953-115"/>
    <x v="514"/>
    <s v="78226-97287-JI"/>
    <s v="L-D-0.5"/>
    <n v="3"/>
    <x v="744"/>
    <s v="kferrettimf@huffingtonpost.com"/>
    <x v="1"/>
    <s v="Lib"/>
    <s v="D"/>
    <x v="1"/>
    <n v="7.77"/>
    <n v="23.31"/>
    <x v="3"/>
    <x v="2"/>
    <x v="1"/>
  </r>
  <r>
    <s v="MHD-95615-696"/>
    <x v="54"/>
    <s v="27930-59250-JT"/>
    <s v="R-L-2.5"/>
    <n v="5"/>
    <x v="745"/>
    <n v="0"/>
    <x v="0"/>
    <s v="Rob"/>
    <s v="L"/>
    <x v="2"/>
    <n v="27.484999999999996"/>
    <n v="137.42499999999998"/>
    <x v="0"/>
    <x v="1"/>
    <x v="1"/>
  </r>
  <r>
    <s v="HBH-64794-080"/>
    <x v="597"/>
    <s v="40560-18556-YE"/>
    <s v="R-D-0.2"/>
    <n v="3"/>
    <x v="746"/>
    <n v="0"/>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n v="0"/>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n v="0"/>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n v="0"/>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n v="0"/>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n v="0"/>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n v="0"/>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n v="0"/>
    <x v="0"/>
    <s v="Rob"/>
    <s v="L"/>
    <x v="2"/>
    <n v="27.484999999999996"/>
    <n v="27.484999999999996"/>
    <x v="0"/>
    <x v="1"/>
    <x v="0"/>
  </r>
  <r>
    <s v="FWD-85967-769"/>
    <x v="631"/>
    <s v="20256-54689-LO"/>
    <s v="E-D-0.2"/>
    <n v="3"/>
    <x v="807"/>
    <n v="0"/>
    <x v="0"/>
    <s v="Exc"/>
    <s v="D"/>
    <x v="3"/>
    <n v="3.645"/>
    <n v="10.935"/>
    <x v="1"/>
    <x v="2"/>
    <x v="1"/>
  </r>
  <r>
    <s v="KTO-53793-109"/>
    <x v="229"/>
    <s v="17572-27091-AA"/>
    <s v="R-L-0.2"/>
    <n v="2"/>
    <x v="808"/>
    <s v="chatfullog@ebay.com"/>
    <x v="0"/>
    <s v="Rob"/>
    <s v="L"/>
    <x v="3"/>
    <n v="3.5849999999999995"/>
    <n v="7.169999999999999"/>
    <x v="0"/>
    <x v="1"/>
    <x v="1"/>
  </r>
  <r>
    <s v="OCK-89033-348"/>
    <x v="632"/>
    <s v="82300-88786-UE"/>
    <s v="A-L-0.2"/>
    <n v="6"/>
    <x v="809"/>
    <n v="0"/>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n v="0"/>
    <x v="1"/>
    <s v="Rob"/>
    <s v="D"/>
    <x v="2"/>
    <n v="20.584999999999997"/>
    <n v="82.339999999999989"/>
    <x v="0"/>
    <x v="2"/>
    <x v="0"/>
  </r>
  <r>
    <s v="QDO-57268-842"/>
    <x v="612"/>
    <s v="57808-90533-UE"/>
    <s v="E-M-2.5"/>
    <n v="5"/>
    <x v="822"/>
    <n v="0"/>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n v="0"/>
    <x v="0"/>
    <s v="Rob"/>
    <s v="L"/>
    <x v="1"/>
    <n v="7.169999999999999"/>
    <n v="35.849999999999994"/>
    <x v="0"/>
    <x v="1"/>
    <x v="1"/>
  </r>
  <r>
    <s v="VKQ-39009-292"/>
    <x v="219"/>
    <s v="57808-90533-UE"/>
    <s v="L-M-1"/>
    <n v="5"/>
    <x v="822"/>
    <n v="0"/>
    <x v="0"/>
    <s v="Lib"/>
    <s v="M"/>
    <x v="0"/>
    <n v="14.55"/>
    <n v="72.75"/>
    <x v="3"/>
    <x v="0"/>
    <x v="1"/>
  </r>
  <r>
    <s v="PDB-98743-282"/>
    <x v="643"/>
    <s v="51940-02669-OR"/>
    <s v="L-L-1"/>
    <n v="3"/>
    <x v="826"/>
    <n v="0"/>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n v="0"/>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n v="0"/>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n v="0"/>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n v="0"/>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n v="0"/>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n v="0"/>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n v="0"/>
    <x v="0"/>
    <s v="Ara"/>
    <s v="D"/>
    <x v="1"/>
    <n v="5.97"/>
    <n v="23.88"/>
    <x v="2"/>
    <x v="2"/>
    <x v="0"/>
  </r>
  <r>
    <s v="EQH-53569-934"/>
    <x v="659"/>
    <s v="53667-91553-LT"/>
    <s v="E-M-1"/>
    <n v="4"/>
    <x v="856"/>
    <s v="bsillispw@istockphoto.com"/>
    <x v="0"/>
    <s v="Exc"/>
    <s v="M"/>
    <x v="0"/>
    <n v="13.75"/>
    <n v="55"/>
    <x v="1"/>
    <x v="0"/>
    <x v="1"/>
  </r>
  <r>
    <s v="XKK-06692-189"/>
    <x v="558"/>
    <s v="86579-92122-OC"/>
    <s v="R-D-1"/>
    <n v="3"/>
    <x v="857"/>
    <n v="0"/>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n v="0"/>
    <x v="0"/>
    <s v="Lib"/>
    <s v="D"/>
    <x v="2"/>
    <n v="29.784999999999997"/>
    <n v="119.13999999999999"/>
    <x v="3"/>
    <x v="2"/>
    <x v="1"/>
  </r>
  <r>
    <s v="UBI-59229-277"/>
    <x v="44"/>
    <s v="00886-35803-FG"/>
    <s v="L-D-0.5"/>
    <n v="3"/>
    <x v="869"/>
    <n v="0"/>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n v="0"/>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n v="0"/>
    <x v="0"/>
    <s v="Ara"/>
    <s v="L"/>
    <x v="3"/>
    <n v="3.8849999999999998"/>
    <n v="3.8849999999999998"/>
    <x v="2"/>
    <x v="1"/>
    <x v="0"/>
  </r>
  <r>
    <s v="HEL-86709-449"/>
    <x v="667"/>
    <s v="86579-92122-OC"/>
    <s v="E-D-2.5"/>
    <n v="1"/>
    <x v="857"/>
    <n v="0"/>
    <x v="0"/>
    <s v="Exc"/>
    <s v="D"/>
    <x v="2"/>
    <n v="27.945"/>
    <n v="27.945"/>
    <x v="1"/>
    <x v="2"/>
    <x v="0"/>
  </r>
  <r>
    <s v="NCH-55389-562"/>
    <x v="110"/>
    <s v="86579-92122-OC"/>
    <s v="E-L-2.5"/>
    <n v="5"/>
    <x v="857"/>
    <n v="0"/>
    <x v="0"/>
    <s v="Exc"/>
    <s v="L"/>
    <x v="2"/>
    <n v="34.154999999999994"/>
    <n v="170.77499999999998"/>
    <x v="1"/>
    <x v="1"/>
    <x v="0"/>
  </r>
  <r>
    <s v="NCH-55389-562"/>
    <x v="110"/>
    <s v="86579-92122-OC"/>
    <s v="R-L-2.5"/>
    <n v="2"/>
    <x v="857"/>
    <n v="0"/>
    <x v="0"/>
    <s v="Rob"/>
    <s v="L"/>
    <x v="2"/>
    <n v="27.484999999999996"/>
    <n v="54.969999999999992"/>
    <x v="0"/>
    <x v="1"/>
    <x v="0"/>
  </r>
  <r>
    <s v="NCH-55389-562"/>
    <x v="110"/>
    <s v="86579-92122-OC"/>
    <s v="E-L-1"/>
    <n v="1"/>
    <x v="857"/>
    <n v="0"/>
    <x v="0"/>
    <s v="Exc"/>
    <s v="L"/>
    <x v="0"/>
    <n v="14.85"/>
    <n v="14.85"/>
    <x v="1"/>
    <x v="1"/>
    <x v="0"/>
  </r>
  <r>
    <s v="NCH-55389-562"/>
    <x v="110"/>
    <s v="86579-92122-OC"/>
    <s v="A-L-0.2"/>
    <n v="2"/>
    <x v="857"/>
    <n v="0"/>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n v="0"/>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n v="0"/>
    <x v="0"/>
    <s v="Exc"/>
    <s v="M"/>
    <x v="1"/>
    <n v="8.25"/>
    <n v="8.25"/>
    <x v="1"/>
    <x v="0"/>
    <x v="1"/>
  </r>
  <r>
    <s v="TED-81959-419"/>
    <x v="677"/>
    <s v="27702-50024-XC"/>
    <s v="A-L-2.5"/>
    <n v="5"/>
    <x v="888"/>
    <s v="nfurberqz@jugem.jp"/>
    <x v="0"/>
    <s v="Ara"/>
    <s v="L"/>
    <x v="2"/>
    <n v="29.784999999999997"/>
    <n v="148.92499999999998"/>
    <x v="2"/>
    <x v="1"/>
    <x v="1"/>
  </r>
  <r>
    <s v="FDO-25756-141"/>
    <x v="629"/>
    <s v="57360-46846-NS"/>
    <s v="A-L-2.5"/>
    <n v="3"/>
    <x v="889"/>
    <n v="0"/>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n v="0"/>
    <x v="0"/>
    <s v="Rob"/>
    <s v="D"/>
    <x v="1"/>
    <n v="5.3699999999999992"/>
    <n v="10.739999999999998"/>
    <x v="0"/>
    <x v="2"/>
    <x v="1"/>
  </r>
  <r>
    <s v="MVV-19034-198"/>
    <x v="94"/>
    <s v="98476-63654-CG"/>
    <s v="E-D-2.5"/>
    <n v="6"/>
    <x v="896"/>
    <n v="0"/>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n v="0"/>
    <x v="2"/>
    <s v="Rob"/>
    <s v="M"/>
    <x v="0"/>
    <n v="9.9499999999999993"/>
    <n v="29.849999999999998"/>
    <x v="0"/>
    <x v="0"/>
    <x v="0"/>
  </r>
  <r>
    <s v="OQA-93249-841"/>
    <x v="647"/>
    <s v="03917-13632-KC"/>
    <s v="A-M-2.5"/>
    <n v="6"/>
    <x v="905"/>
    <n v="0"/>
    <x v="0"/>
    <s v="Ara"/>
    <s v="M"/>
    <x v="2"/>
    <n v="25.874999999999996"/>
    <n v="155.24999999999997"/>
    <x v="2"/>
    <x v="0"/>
    <x v="0"/>
  </r>
  <r>
    <s v="DUV-12075-132"/>
    <x v="366"/>
    <s v="62494-09113-RP"/>
    <s v="E-D-0.2"/>
    <n v="5"/>
    <x v="906"/>
    <n v="0"/>
    <x v="0"/>
    <s v="Exc"/>
    <s v="D"/>
    <x v="3"/>
    <n v="3.645"/>
    <n v="18.225000000000001"/>
    <x v="1"/>
    <x v="2"/>
    <x v="1"/>
  </r>
  <r>
    <s v="DUV-12075-132"/>
    <x v="366"/>
    <s v="62494-09113-RP"/>
    <s v="L-D-0.5"/>
    <n v="2"/>
    <x v="906"/>
    <n v="0"/>
    <x v="0"/>
    <s v="Lib"/>
    <s v="D"/>
    <x v="1"/>
    <n v="7.77"/>
    <n v="15.54"/>
    <x v="3"/>
    <x v="2"/>
    <x v="1"/>
  </r>
  <r>
    <s v="KPO-24942-184"/>
    <x v="684"/>
    <s v="70567-65133-CN"/>
    <s v="L-L-2.5"/>
    <n v="3"/>
    <x v="907"/>
    <n v="0"/>
    <x v="1"/>
    <s v="Lib"/>
    <s v="L"/>
    <x v="2"/>
    <n v="36.454999999999998"/>
    <n v="109.36499999999999"/>
    <x v="3"/>
    <x v="1"/>
    <x v="1"/>
  </r>
  <r>
    <s v="SRJ-79353-838"/>
    <x v="506"/>
    <s v="77869-81373-AY"/>
    <s v="A-L-1"/>
    <n v="6"/>
    <x v="908"/>
    <n v="0"/>
    <x v="0"/>
    <s v="Ara"/>
    <s v="L"/>
    <x v="0"/>
    <n v="12.95"/>
    <n v="77.699999999999989"/>
    <x v="2"/>
    <x v="1"/>
    <x v="1"/>
  </r>
  <r>
    <s v="XBV-40336-071"/>
    <x v="685"/>
    <s v="38536-98293-JZ"/>
    <s v="A-D-0.2"/>
    <n v="3"/>
    <x v="909"/>
    <n v="0"/>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n v="0"/>
    <x v="0"/>
    <s v="Rob"/>
    <s v="M"/>
    <x v="1"/>
    <n v="5.97"/>
    <n v="29.849999999999998"/>
    <x v="0"/>
    <x v="0"/>
    <x v="1"/>
  </r>
  <r>
    <s v="UME-75640-698"/>
    <x v="687"/>
    <s v="62494-09113-RP"/>
    <s v="A-M-0.5"/>
    <n v="4"/>
    <x v="906"/>
    <n v="0"/>
    <x v="0"/>
    <s v="Ara"/>
    <s v="M"/>
    <x v="1"/>
    <n v="6.75"/>
    <n v="27"/>
    <x v="2"/>
    <x v="0"/>
    <x v="1"/>
  </r>
  <r>
    <s v="GJC-66474-557"/>
    <x v="629"/>
    <s v="64965-78386-MY"/>
    <s v="A-D-1"/>
    <n v="1"/>
    <x v="911"/>
    <s v="njennyrq@bigcartel.com"/>
    <x v="0"/>
    <s v="Ara"/>
    <s v="D"/>
    <x v="0"/>
    <n v="9.9499999999999993"/>
    <n v="9.9499999999999993"/>
    <x v="2"/>
    <x v="2"/>
    <x v="1"/>
  </r>
  <r>
    <s v="IRV-20769-219"/>
    <x v="688"/>
    <s v="77131-58092-GE"/>
    <s v="E-M-0.2"/>
    <n v="3"/>
    <x v="912"/>
    <n v="0"/>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818E8A-3CFA-494A-8812-5445D3BA279B}"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A3:D7"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h="1" x="3"/>
        <item h="1" x="1"/>
        <item x="0"/>
        <item h="1"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h="1" x="1"/>
        <item h="1" x="0"/>
        <item t="default"/>
      </items>
    </pivotField>
    <pivotField compact="0" outline="0" showAll="0">
      <items count="3">
        <item h="1"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3">
    <i>
      <x v="4"/>
      <x v="4"/>
    </i>
    <i t="default">
      <x v="4"/>
    </i>
    <i t="grand">
      <x/>
    </i>
  </rowItems>
  <colFields count="1">
    <field x="13"/>
  </colFields>
  <colItems count="2">
    <i>
      <x v="3"/>
    </i>
    <i t="grand">
      <x/>
    </i>
  </colItems>
  <dataFields count="1">
    <dataField name="Sum of Sales" fld="12" baseField="15" baseItem="1" numFmtId="3"/>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6" format="12" series="1">
      <pivotArea type="data" outline="0" fieldPosition="0">
        <references count="2">
          <reference field="4294967294" count="1" selected="0">
            <x v="0"/>
          </reference>
          <reference field="13" count="1" selected="0">
            <x v="0"/>
          </reference>
        </references>
      </pivotArea>
    </chartFormat>
    <chartFormat chart="6" format="13" series="1">
      <pivotArea type="data" outline="0" fieldPosition="0">
        <references count="2">
          <reference field="4294967294" count="1" selected="0">
            <x v="0"/>
          </reference>
          <reference field="13" count="1" selected="0">
            <x v="1"/>
          </reference>
        </references>
      </pivotArea>
    </chartFormat>
    <chartFormat chart="6" format="14" series="1">
      <pivotArea type="data" outline="0" fieldPosition="0">
        <references count="2">
          <reference field="4294967294" count="1" selected="0">
            <x v="0"/>
          </reference>
          <reference field="13" count="1" selected="0">
            <x v="2"/>
          </reference>
        </references>
      </pivotArea>
    </chartFormat>
    <chartFormat chart="6"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4" name="Order 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92AE76-E74E-4D49-8E06-853741BC5C19}"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B5"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h="1" x="3"/>
        <item h="1" x="1"/>
        <item x="0"/>
        <item h="1"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h="1" x="1"/>
        <item h="1" x="0"/>
        <item t="default"/>
      </items>
    </pivotField>
    <pivotField compact="0" outline="0" showAll="0">
      <items count="3">
        <item h="1"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2">
    <i>
      <x/>
    </i>
    <i t="grand">
      <x/>
    </i>
  </rowItems>
  <colItems count="1">
    <i/>
  </colItems>
  <dataFields count="1">
    <dataField name="Sum of Sales" fld="12" baseField="7" baseItem="1" numFmtId="168"/>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filters count="1">
    <filter fld="1" type="dateBetween" evalOrder="-1" id="4" name="Order 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192D6A-80B0-4EE1-B6EC-CBCDBF1F5E6A}"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3:B5"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h="1" x="3"/>
        <item h="1" x="1"/>
        <item x="0"/>
        <item h="1"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h="1" x="1"/>
        <item h="1" x="0"/>
        <item t="default"/>
      </items>
    </pivotField>
    <pivotField compact="0" outline="0" showAll="0">
      <items count="3">
        <item h="1"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2">
    <i>
      <x v="626"/>
    </i>
    <i t="grand">
      <x/>
    </i>
  </rowItems>
  <colItems count="1">
    <i/>
  </colItems>
  <dataFields count="1">
    <dataField name="Sum of Sales" fld="12" baseField="7" baseItem="1" numFmtId="168"/>
  </dataFields>
  <chartFormats count="5">
    <chartFormat chart="5" format="1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24" name="Order 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 fld="5" type="count" evalOrder="-1" id="2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3EC0885-5B7D-41FC-BD71-E432774105C2}" sourceName="Size">
  <pivotTables>
    <pivotTable tabId="18" name="Total Sales"/>
    <pivotTable tabId="20" name="Total Sales"/>
    <pivotTable tabId="21" name="Total Sales"/>
  </pivotTables>
  <data>
    <tabular pivotCacheId="355391110">
      <items count="4">
        <i x="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F92B479-B825-4613-BECF-23D378CDD9C8}" sourceName="Roast Type Name">
  <pivotTables>
    <pivotTable tabId="18" name="Total Sales"/>
    <pivotTable tabId="20" name="Total Sales"/>
    <pivotTable tabId="21" name="Total Sales"/>
  </pivotTables>
  <data>
    <tabular pivotCacheId="355391110">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57831F2E-A8FE-470D-A9A8-A5B9AAC8EAE7}" sourceName="Loyality Card">
  <pivotTables>
    <pivotTable tabId="18" name="Total Sales"/>
    <pivotTable tabId="20" name="Total Sales"/>
    <pivotTable tabId="21" name="Total Sales"/>
  </pivotTables>
  <data>
    <tabular pivotCacheId="355391110">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B3224F5-1F5E-4E45-AF58-A6505560F6F7}" cache="Slicer_Size" caption="Size" columnCount="2" style="Purple Slicer" rowHeight="234950"/>
  <slicer name="Roast Type Name" xr10:uid="{088E0E87-9795-4B6C-B56D-053D0D1ED6E4}" cache="Slicer_Roast_Type_Name" caption="Roast Type Name" columnCount="3" style="Purple Slicer" rowHeight="234950"/>
  <slicer name="Loyality Card" xr10:uid="{6AF3805E-40E1-4172-9F31-2FDB83061AA2}" cache="Slicer_Loyality_Card" caption="Loyali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A0BDFD-2973-4FEB-8ED1-556D3DC8FA75}" name="Orders" displayName="Orders" ref="A1:P1001" totalsRowShown="0">
  <autoFilter ref="A1:P1001" xr:uid="{ACA0BDFD-2973-4FEB-8ED1-556D3DC8FA75}"/>
  <tableColumns count="16">
    <tableColumn id="1" xr3:uid="{957AA0B9-3A2C-456F-A036-E25BD68101DD}" name="Order ID" dataDxfId="21"/>
    <tableColumn id="2" xr3:uid="{1E98FB90-81D4-4DC4-BFAA-C0B129207691}" name="Order Date" dataDxfId="20"/>
    <tableColumn id="3" xr3:uid="{AC0B5008-3E8C-4210-A6D5-E0E13B70527B}" name="Customer ID" dataDxfId="19"/>
    <tableColumn id="4" xr3:uid="{D732036F-5BFD-46A5-82A5-B01590C17A1E}" name="Product ID"/>
    <tableColumn id="5" xr3:uid="{2017D8E7-40AE-4089-9A40-B86DF0AE01B5}" name="Quantity" dataDxfId="18"/>
    <tableColumn id="6" xr3:uid="{C32AA50D-42D4-4E70-A518-F729CF92E111}" name="Customer Name" dataDxfId="17">
      <calculatedColumnFormula>_xlfn.XLOOKUP(C2,customers!$A$1:$A$1001,customers!$B$1:$B$1001,0)</calculatedColumnFormula>
    </tableColumn>
    <tableColumn id="7" xr3:uid="{60A57D38-0CC8-4FB6-83B7-51C2888524A6}" name="Email" dataDxfId="16">
      <calculatedColumnFormula>_xlfn.XLOOKUP(C2,customers!$A$1:$A$1001,customers!$C$1:$C$1001,0)</calculatedColumnFormula>
    </tableColumn>
    <tableColumn id="8" xr3:uid="{976C7A2B-112D-4543-BF57-870CF8D222EF}" name="Country" dataDxfId="15">
      <calculatedColumnFormula>_xlfn.XLOOKUP(C2,customers!$A$1:$A$1001,customers!$G$1:$G$1001,0)</calculatedColumnFormula>
    </tableColumn>
    <tableColumn id="9" xr3:uid="{0DB4F69E-A0BF-4174-B3A0-BFBF57CD0C9B}" name="Coffee Type">
      <calculatedColumnFormula>INDEX(products!$A$1:$G$49,MATCH(orders!$D2,products!$A$1:$A$49,0),MATCH(orders!I$1,products!$A$1:$G$1,0))</calculatedColumnFormula>
    </tableColumn>
    <tableColumn id="10" xr3:uid="{D333074D-DBB0-4602-B126-D4C014085721}" name="Roast Type">
      <calculatedColumnFormula>INDEX(products!$A$1:$G$49,MATCH(orders!$D2,products!$A$1:$A$49,0),MATCH(orders!J$1,products!$A$1:$G$1,0))</calculatedColumnFormula>
    </tableColumn>
    <tableColumn id="11" xr3:uid="{EA796B5C-0E8E-411A-8979-AF9C3DF8D6FA}" name="Size" dataDxfId="14">
      <calculatedColumnFormula>INDEX(products!$A$1:$G$49,MATCH(orders!$D2,products!$A$1:$A$49,0),MATCH(orders!K$1,products!$A$1:$G$1,0))</calculatedColumnFormula>
    </tableColumn>
    <tableColumn id="12" xr3:uid="{AEB83F35-3841-459B-856F-AB7F80F30896}" name="Unit Price" dataDxfId="13">
      <calculatedColumnFormula>INDEX(products!$A$1:$G$49,MATCH(orders!$D2,products!$A$1:$A$49,0),MATCH(orders!L$1,products!$A$1:$G$1,0))</calculatedColumnFormula>
    </tableColumn>
    <tableColumn id="13" xr3:uid="{C3B0E40A-87BD-4B01-AB69-D86E101E56C1}" name="Sales" dataDxfId="12">
      <calculatedColumnFormula>L2*E2</calculatedColumnFormula>
    </tableColumn>
    <tableColumn id="14" xr3:uid="{01112558-6723-46CD-AE02-D9B013699984}" name="Coffee Type Name">
      <calculatedColumnFormula>IF(I2="Rob","Robusta", IF(I2="Exc","Excelsa",IF(I2="Lib","Librica",IF(I2="Ara","Arabica",""))))</calculatedColumnFormula>
    </tableColumn>
    <tableColumn id="15" xr3:uid="{EBEBD3D8-2256-46F2-945C-6717BF702730}" name="Roast Type Name">
      <calculatedColumnFormula>IF(J2="M","Medium",IF(J2="L","Light", IF(J2="D","Dark")))</calculatedColumnFormula>
    </tableColumn>
    <tableColumn id="16" xr3:uid="{E746F720-4C08-47DF-B25C-663C6BD7E351}" name="Loyality Card" dataDxfId="11">
      <calculatedColumnFormula>_xlfn.XLOOKUP(Orders[[#This Row],[Customer ID]],customers!$A$1:$A$1001,customers!$I$1:$I$1001,,0)</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18EF5B-4399-4ED6-B8EE-BE3B53231196}" name="Table2" displayName="Table2" ref="A1:I1001" totalsRowShown="0" headerRowDxfId="10" dataDxfId="9">
  <autoFilter ref="A1:I1001" xr:uid="{FC18EF5B-4399-4ED6-B8EE-BE3B53231196}"/>
  <tableColumns count="9">
    <tableColumn id="1" xr3:uid="{7584885B-3DFA-48DF-84DB-F0045669963D}" name="Customer ID" dataDxfId="8"/>
    <tableColumn id="2" xr3:uid="{8BCB34CB-2835-4AC7-91DF-9A36286A90FB}" name="Customer Name" dataDxfId="7"/>
    <tableColumn id="3" xr3:uid="{48660E81-70DC-4695-BBC8-049C923727BD}" name="Email" dataDxfId="6"/>
    <tableColumn id="4" xr3:uid="{A473E185-131F-4C9A-A3D8-0317236FA52F}" name="Phone Number" dataDxfId="5"/>
    <tableColumn id="5" xr3:uid="{A92426B8-6A3B-45D3-A9AA-6E60827887B4}" name="Address Line 1" dataDxfId="4"/>
    <tableColumn id="6" xr3:uid="{2B2F11DE-CC5F-46E2-B300-A61F8C0B4040}" name="City" dataDxfId="3"/>
    <tableColumn id="7" xr3:uid="{C36EC046-D231-4043-8F5C-3DD08FCAEA25}" name="Country" dataDxfId="2"/>
    <tableColumn id="8" xr3:uid="{DFA47C1E-E896-4FD2-9546-9C89A534F34C}" name="Postcode" dataDxfId="1"/>
    <tableColumn id="9" xr3:uid="{508D7701-A65E-4D91-903C-0AA280688249}" name="Loyalty Card"/>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1B8A58-4456-427A-9A7E-E89BAE86254D}" name="Table4" displayName="Table4" ref="A1:G49" totalsRowShown="0">
  <autoFilter ref="A1:G49" xr:uid="{691B8A58-4456-427A-9A7E-E89BAE86254D}"/>
  <tableColumns count="7">
    <tableColumn id="1" xr3:uid="{1882C606-6BCC-4186-A394-91A41008276F}" name="Product ID"/>
    <tableColumn id="2" xr3:uid="{9B9FB70D-EB17-4178-A430-CD8B9E7EFAA9}" name="Coffee Type"/>
    <tableColumn id="3" xr3:uid="{2CDBB087-D833-4331-A92E-46AED600A6E1}" name="Roast Type"/>
    <tableColumn id="4" xr3:uid="{F128D4D4-F271-47B2-9C8F-2AD8F09CC7AF}" name="Size" dataDxfId="0"/>
    <tableColumn id="5" xr3:uid="{CC5F558A-16E5-4AD5-AEE4-94539CED9262}" name="Unit Price"/>
    <tableColumn id="6" xr3:uid="{4E06BFA8-BAF8-4E56-911A-93031783AEB7}" name="Price per 100g"/>
    <tableColumn id="7" xr3:uid="{EE53932B-0274-4CAC-8F3B-09D66D764157}" name="Profit"/>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AEFB802-DC90-4080-85F1-ABC31850D545}" sourceName="Order Date">
  <pivotTables>
    <pivotTable tabId="18" name="Total Sales"/>
    <pivotTable tabId="20" name="Total Sales"/>
    <pivotTable tabId="21" name="Total Sales"/>
  </pivotTables>
  <state minimalRefreshVersion="6" lastRefreshVersion="6" pivotCacheId="355391110" filterType="dateBetween">
    <selection startDate="2022-04-01T00:00:00" endDate="2022-04-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F73E41E-950C-4E29-A63D-07C87A6E41B2}" cache="NativeTimeline_Order_Date" caption="Order Date" level="2" selectionLevel="2" scrollPosition="2020-12-18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5F1A-F710-4B5D-B2AD-DD3A0B7924D6}">
  <dimension ref="A3:D7"/>
  <sheetViews>
    <sheetView zoomScale="51" workbookViewId="0">
      <selection activeCell="Q34" sqref="Q34"/>
    </sheetView>
  </sheetViews>
  <sheetFormatPr defaultRowHeight="14.4" x14ac:dyDescent="0.3"/>
  <cols>
    <col min="1" max="1" width="12.5546875" bestFit="1" customWidth="1"/>
    <col min="2" max="2" width="29.77734375" bestFit="1" customWidth="1"/>
    <col min="3" max="3" width="27.109375" bestFit="1" customWidth="1"/>
    <col min="4" max="4" width="15.109375" bestFit="1" customWidth="1"/>
    <col min="5" max="6" width="27.109375" bestFit="1" customWidth="1"/>
    <col min="7" max="7" width="15.109375" bestFit="1" customWidth="1"/>
    <col min="8" max="10" width="27.44140625" bestFit="1" customWidth="1"/>
    <col min="11" max="11" width="23.109375" bestFit="1" customWidth="1"/>
    <col min="12" max="12" width="24.5546875" bestFit="1" customWidth="1"/>
  </cols>
  <sheetData>
    <row r="3" spans="1:4" x14ac:dyDescent="0.3">
      <c r="A3" s="9" t="s">
        <v>6205</v>
      </c>
      <c r="C3" s="9" t="s">
        <v>6196</v>
      </c>
    </row>
    <row r="4" spans="1:4" x14ac:dyDescent="0.3">
      <c r="A4" s="9" t="s">
        <v>6201</v>
      </c>
      <c r="B4" s="9" t="s">
        <v>6202</v>
      </c>
      <c r="C4" t="s">
        <v>6204</v>
      </c>
      <c r="D4" t="s">
        <v>6198</v>
      </c>
    </row>
    <row r="5" spans="1:4" x14ac:dyDescent="0.3">
      <c r="A5" t="s">
        <v>6199</v>
      </c>
      <c r="B5" t="s">
        <v>6200</v>
      </c>
      <c r="C5" s="10">
        <v>8.9499999999999993</v>
      </c>
      <c r="D5" s="10">
        <v>8.9499999999999993</v>
      </c>
    </row>
    <row r="6" spans="1:4" x14ac:dyDescent="0.3">
      <c r="A6" t="s">
        <v>6203</v>
      </c>
      <c r="C6" s="10">
        <v>8.9499999999999993</v>
      </c>
      <c r="D6" s="10">
        <v>8.9499999999999993</v>
      </c>
    </row>
    <row r="7" spans="1:4" x14ac:dyDescent="0.3">
      <c r="A7" t="s">
        <v>6198</v>
      </c>
      <c r="C7" s="10">
        <v>8.9499999999999993</v>
      </c>
      <c r="D7" s="10">
        <v>8.9499999999999993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0ADAF-2709-4677-B6C1-93F73E9D8ED7}">
  <dimension ref="A3:B5"/>
  <sheetViews>
    <sheetView zoomScale="102" workbookViewId="0">
      <selection activeCell="B6" sqref="B6"/>
    </sheetView>
  </sheetViews>
  <sheetFormatPr defaultRowHeight="14.4" x14ac:dyDescent="0.3"/>
  <cols>
    <col min="1" max="1" width="11" bestFit="1" customWidth="1"/>
    <col min="2" max="2" width="11.77734375" bestFit="1" customWidth="1"/>
    <col min="3" max="5" width="27.109375" bestFit="1" customWidth="1"/>
    <col min="6" max="7" width="15.109375" bestFit="1" customWidth="1"/>
    <col min="8" max="10" width="27.44140625" bestFit="1" customWidth="1"/>
    <col min="11" max="11" width="23.109375" bestFit="1" customWidth="1"/>
    <col min="12" max="12" width="24.5546875" bestFit="1" customWidth="1"/>
  </cols>
  <sheetData>
    <row r="3" spans="1:2" x14ac:dyDescent="0.3">
      <c r="A3" s="9" t="s">
        <v>7</v>
      </c>
      <c r="B3" t="s">
        <v>6205</v>
      </c>
    </row>
    <row r="4" spans="1:2" x14ac:dyDescent="0.3">
      <c r="A4" t="s">
        <v>318</v>
      </c>
      <c r="B4" s="11">
        <v>8.9499999999999993</v>
      </c>
    </row>
    <row r="5" spans="1:2" x14ac:dyDescent="0.3">
      <c r="A5" t="s">
        <v>6198</v>
      </c>
      <c r="B5" s="11">
        <v>8.9499999999999993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E8E10-9050-439D-80D7-AA10E6AF0A36}">
  <dimension ref="A3:B5"/>
  <sheetViews>
    <sheetView zoomScale="102" workbookViewId="0">
      <selection activeCell="B6" sqref="B6"/>
    </sheetView>
  </sheetViews>
  <sheetFormatPr defaultRowHeight="14.4" x14ac:dyDescent="0.3"/>
  <cols>
    <col min="1" max="1" width="17.21875" bestFit="1" customWidth="1"/>
    <col min="2" max="3" width="11.77734375" bestFit="1" customWidth="1"/>
    <col min="4" max="5" width="27.109375" bestFit="1" customWidth="1"/>
    <col min="6" max="7" width="15.109375" bestFit="1" customWidth="1"/>
    <col min="8" max="10" width="27.44140625" bestFit="1" customWidth="1"/>
    <col min="11" max="11" width="23.109375" bestFit="1" customWidth="1"/>
    <col min="12" max="12" width="24.5546875" bestFit="1" customWidth="1"/>
  </cols>
  <sheetData>
    <row r="3" spans="1:2" x14ac:dyDescent="0.3">
      <c r="A3" s="9" t="s">
        <v>4</v>
      </c>
      <c r="B3" t="s">
        <v>6205</v>
      </c>
    </row>
    <row r="4" spans="1:2" x14ac:dyDescent="0.3">
      <c r="A4" t="s">
        <v>5928</v>
      </c>
      <c r="B4" s="11">
        <v>8.9499999999999993</v>
      </c>
    </row>
    <row r="5" spans="1:2" x14ac:dyDescent="0.3">
      <c r="A5" t="s">
        <v>6198</v>
      </c>
      <c r="B5" s="11">
        <v>8.9499999999999993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3319-F7A1-4BFF-A764-24B314579C19}">
  <dimension ref="A1"/>
  <sheetViews>
    <sheetView showGridLines="0" tabSelected="1" zoomScale="61" workbookViewId="0">
      <selection activeCell="AB10" sqref="AB10"/>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99" zoomScaleNormal="115" workbookViewId="0">
      <selection activeCell="P3" sqref="P3"/>
    </sheetView>
  </sheetViews>
  <sheetFormatPr defaultRowHeight="14.4" x14ac:dyDescent="0.3"/>
  <cols>
    <col min="1" max="1" width="15.5546875" bestFit="1" customWidth="1"/>
    <col min="2" max="2" width="12.33203125" style="4" customWidth="1"/>
    <col min="3" max="3" width="16.44140625" bestFit="1" customWidth="1"/>
    <col min="4" max="4" width="11.6640625" customWidth="1"/>
    <col min="5" max="5" width="10.21875" customWidth="1"/>
    <col min="6" max="6" width="21.88671875" bestFit="1" customWidth="1"/>
    <col min="7" max="7" width="36" bestFit="1" customWidth="1"/>
    <col min="8" max="8" width="11.88671875" bestFit="1" customWidth="1"/>
    <col min="9" max="9" width="12.77734375" customWidth="1"/>
    <col min="10" max="10" width="12" customWidth="1"/>
    <col min="11" max="11" width="6.21875" style="6" customWidth="1"/>
    <col min="12" max="12" width="11" customWidth="1"/>
    <col min="13" max="13" width="7.77734375" bestFit="1" customWidth="1"/>
    <col min="14" max="14" width="18.109375" customWidth="1"/>
    <col min="15" max="15" width="17.44140625" customWidth="1"/>
  </cols>
  <sheetData>
    <row r="1" spans="1:16" x14ac:dyDescent="0.3">
      <c r="A1" s="2" t="s">
        <v>0</v>
      </c>
      <c r="B1" s="3" t="s">
        <v>1</v>
      </c>
      <c r="C1" s="2" t="s">
        <v>3</v>
      </c>
      <c r="D1" s="2" t="s">
        <v>11</v>
      </c>
      <c r="E1" s="2" t="s">
        <v>14</v>
      </c>
      <c r="F1" s="2" t="s">
        <v>4</v>
      </c>
      <c r="G1" s="2" t="s">
        <v>2</v>
      </c>
      <c r="H1" s="2" t="s">
        <v>7</v>
      </c>
      <c r="I1" s="2" t="s">
        <v>9</v>
      </c>
      <c r="J1" s="2" t="s">
        <v>10</v>
      </c>
      <c r="K1" s="5" t="s">
        <v>12</v>
      </c>
      <c r="L1" s="7" t="s">
        <v>13</v>
      </c>
      <c r="M1" s="7" t="s">
        <v>15</v>
      </c>
      <c r="N1" s="2" t="s">
        <v>6196</v>
      </c>
      <c r="O1" s="2" t="s">
        <v>6197</v>
      </c>
      <c r="P1" t="s">
        <v>6206</v>
      </c>
    </row>
    <row r="2" spans="1:16" x14ac:dyDescent="0.3">
      <c r="A2" s="2" t="s">
        <v>490</v>
      </c>
      <c r="B2" s="3">
        <v>43713</v>
      </c>
      <c r="C2" s="2" t="s">
        <v>491</v>
      </c>
      <c r="D2" t="s">
        <v>6138</v>
      </c>
      <c r="E2" s="2">
        <v>2</v>
      </c>
      <c r="F2" s="2" t="str">
        <f>_xlfn.XLOOKUP(C2,customers!$A$1:$A$1001,customers!$B$1:$B$1001,0)</f>
        <v>Aloisia Allner</v>
      </c>
      <c r="G2" s="2" t="str">
        <f>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8">
        <f>L2*E2</f>
        <v>19.899999999999999</v>
      </c>
      <c r="N2" t="str">
        <f>IF(I2="Rob","Robusta", IF(I2="Exc","Excelsa",IF(I2="Lib","Librica",IF(I2="Ara","Arabica",""))))</f>
        <v>Robusta</v>
      </c>
      <c r="O2" t="str">
        <f>IF(J2="M","Medium",IF(J2="L","Light", 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ref="M3:M66" si="0">L3*E3</f>
        <v>41.25</v>
      </c>
      <c r="N3" t="str">
        <f t="shared" ref="N3:N66" si="1">IF(I3="Rob","Robusta", IF(I3="Exc","Excelsa",IF(I3="Lib","Librica",IF(I3="Ara","Arabica",""))))</f>
        <v>Excelsa</v>
      </c>
      <c r="O3" t="str">
        <f t="shared" ref="O3:O66" si="2">IF(J3="M","Medium",IF(J3="L","Light", 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f>_xlfn.XLOOKUP(C5,customers!$A$1:$A$1001,customers!$C$1:$C$1001,0)</f>
        <v>0</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f>_xlfn.XLOOKUP(C6,customers!$A$1:$A$1001,customers!$C$1:$C$1001,0)</f>
        <v>0</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f>_xlfn.XLOOKUP(C7,customers!$A$1:$A$1001,customers!$C$1:$C$1001,0)</f>
        <v>0</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8">
        <f t="shared" si="0"/>
        <v>38.849999999999994</v>
      </c>
      <c r="N7" t="str">
        <f t="shared" si="1"/>
        <v>Librica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f>_xlfn.XLOOKUP(C9,customers!$A$1:$A$1001,customers!$C$1:$C$1001,0)</f>
        <v>0</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t="str">
        <f t="shared" si="1"/>
        <v>Librica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t="str">
        <f t="shared" si="1"/>
        <v>Librica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f>_xlfn.XLOOKUP(C27,customers!$A$1:$A$1001,customers!$C$1:$C$1001,0)</f>
        <v>0</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f>_xlfn.XLOOKUP(C32,customers!$A$1:$A$1001,customers!$C$1:$C$1001,0)</f>
        <v>0</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t="str">
        <f t="shared" si="1"/>
        <v>Librica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f>_xlfn.XLOOKUP(C33,customers!$A$1:$A$1001,customers!$C$1:$C$1001,0)</f>
        <v>0</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f>_xlfn.XLOOKUP(C34,customers!$A$1:$A$1001,customers!$C$1:$C$1001,0)</f>
        <v>0</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t="str">
        <f t="shared" si="1"/>
        <v>Librica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t="str">
        <f t="shared" si="1"/>
        <v>Librica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t="str">
        <f t="shared" si="1"/>
        <v>Librica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t="str">
        <f t="shared" si="1"/>
        <v>Librica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t="str">
        <f t="shared" si="1"/>
        <v>Librica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f>_xlfn.XLOOKUP(C41,customers!$A$1:$A$1001,customers!$C$1:$C$1001,0)</f>
        <v>0</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f>_xlfn.XLOOKUP(C42,customers!$A$1:$A$1001,customers!$C$1:$C$1001,0)</f>
        <v>0</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t="str">
        <f t="shared" si="1"/>
        <v>Librica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f>_xlfn.XLOOKUP(C45,customers!$A$1:$A$1001,customers!$C$1:$C$1001,0)</f>
        <v>0</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t="str">
        <f t="shared" si="1"/>
        <v>Librica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t="str">
        <f t="shared" si="1"/>
        <v>Librica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f>_xlfn.XLOOKUP(C48,customers!$A$1:$A$1001,customers!$C$1:$C$1001,0)</f>
        <v>0</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t="str">
        <f t="shared" si="1"/>
        <v>Librica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t="str">
        <f t="shared" si="1"/>
        <v>Librica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t="str">
        <f t="shared" si="1"/>
        <v>Librica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t="str">
        <f t="shared" si="1"/>
        <v>Librica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f>_xlfn.XLOOKUP(C57,customers!$A$1:$A$1001,customers!$C$1:$C$1001,0)</f>
        <v>0</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t="str">
        <f t="shared" si="1"/>
        <v>Librica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f>_xlfn.XLOOKUP(C60,customers!$A$1:$A$1001,customers!$C$1:$C$1001,0)</f>
        <v>0</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t="str">
        <f t="shared" si="1"/>
        <v>Librica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t="str">
        <f t="shared" si="1"/>
        <v>Librica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f>_xlfn.XLOOKUP(C63,customers!$A$1:$A$1001,customers!$C$1:$C$1001,0)</f>
        <v>0</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f>_xlfn.XLOOKUP(C64,customers!$A$1:$A$1001,customers!$C$1:$C$1001,0)</f>
        <v>0</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t="str">
        <f t="shared" si="1"/>
        <v>Librica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f>_xlfn.XLOOKUP(C66,customers!$A$1:$A$1001,customers!$C$1:$C$1001,0)</f>
        <v>0</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IF(I67="Rob","Robusta", IF(I67="Exc","Excelsa",IF(I67="Lib","Librica",IF(I67="Ara","Arabica",""))))</f>
        <v>Robusta</v>
      </c>
      <c r="O67" t="str">
        <f t="shared" ref="O67:O130" si="5">IF(J67="M","Medium",IF(J67="L","Light", 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3"/>
        <v>9.51</v>
      </c>
      <c r="N69" t="str">
        <f t="shared" si="4"/>
        <v>Librica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3"/>
        <v>9.51</v>
      </c>
      <c r="N73" t="str">
        <f t="shared" si="4"/>
        <v>Librica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f>_xlfn.XLOOKUP(C74,customers!$A$1:$A$1001,customers!$C$1:$C$1001,0)</f>
        <v>0</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f>_xlfn.XLOOKUP(C75,customers!$A$1:$A$1001,customers!$C$1:$C$1001,0)</f>
        <v>0</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3"/>
        <v>21.825000000000003</v>
      </c>
      <c r="N75" t="str">
        <f t="shared" si="4"/>
        <v>Librica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f>_xlfn.XLOOKUP(C78,customers!$A$1:$A$1001,customers!$C$1:$C$1001,0)</f>
        <v>0</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3"/>
        <v>109.36499999999999</v>
      </c>
      <c r="N83" t="str">
        <f t="shared" si="4"/>
        <v>Librica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3"/>
        <v>100.39499999999998</v>
      </c>
      <c r="N84" t="str">
        <f t="shared" si="4"/>
        <v>Librica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f>_xlfn.XLOOKUP(C85,customers!$A$1:$A$1001,customers!$C$1:$C$1001,0)</f>
        <v>0</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3"/>
        <v>9.51</v>
      </c>
      <c r="N86" t="str">
        <f t="shared" si="4"/>
        <v>Librica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f>_xlfn.XLOOKUP(C92,customers!$A$1:$A$1001,customers!$C$1:$C$1001,0)</f>
        <v>0</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f>_xlfn.XLOOKUP(C94,customers!$A$1:$A$1001,customers!$C$1:$C$1001,0)</f>
        <v>0</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f>_xlfn.XLOOKUP(C96,customers!$A$1:$A$1001,customers!$C$1:$C$1001,0)</f>
        <v>0</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f>_xlfn.XLOOKUP(C100,customers!$A$1:$A$1001,customers!$C$1:$C$1001,0)</f>
        <v>0</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f>_xlfn.XLOOKUP(C101,customers!$A$1:$A$1001,customers!$C$1:$C$1001,0)</f>
        <v>0</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3"/>
        <v>13.095000000000001</v>
      </c>
      <c r="N101" t="str">
        <f t="shared" si="4"/>
        <v>Librica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f>_xlfn.XLOOKUP(C102,customers!$A$1:$A$1001,customers!$C$1:$C$1001,0)</f>
        <v>0</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3"/>
        <v>148.92499999999998</v>
      </c>
      <c r="N103" t="str">
        <f t="shared" si="4"/>
        <v>Librica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3"/>
        <v>38.849999999999994</v>
      </c>
      <c r="N104" t="str">
        <f t="shared" si="4"/>
        <v>Librica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3"/>
        <v>87.300000000000011</v>
      </c>
      <c r="N106" t="str">
        <f t="shared" si="4"/>
        <v>Librica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f>_xlfn.XLOOKUP(C110,customers!$A$1:$A$1001,customers!$C$1:$C$1001,0)</f>
        <v>0</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3"/>
        <v>7.77</v>
      </c>
      <c r="N111" t="str">
        <f t="shared" si="4"/>
        <v>Librica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3"/>
        <v>14.55</v>
      </c>
      <c r="N115" t="str">
        <f t="shared" si="4"/>
        <v>Librica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f>_xlfn.XLOOKUP(C116,customers!$A$1:$A$1001,customers!$C$1:$C$1001,0)</f>
        <v>0</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3"/>
        <v>15.85</v>
      </c>
      <c r="N117" t="str">
        <f t="shared" si="4"/>
        <v>Librica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3"/>
        <v>19.02</v>
      </c>
      <c r="N118" t="str">
        <f t="shared" si="4"/>
        <v>Librica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3"/>
        <v>38.04</v>
      </c>
      <c r="N119" t="str">
        <f t="shared" si="4"/>
        <v>Librica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3"/>
        <v>145.82</v>
      </c>
      <c r="N125" t="str">
        <f t="shared" si="4"/>
        <v>Librica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3"/>
        <v>21.825000000000003</v>
      </c>
      <c r="N126" t="str">
        <f t="shared" si="4"/>
        <v>Librica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3"/>
        <v>26.19</v>
      </c>
      <c r="N127" t="str">
        <f t="shared" si="4"/>
        <v>Librica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3"/>
        <v>77.699999999999989</v>
      </c>
      <c r="N129" t="str">
        <f t="shared" si="4"/>
        <v>Librica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IF(I131="Rob","Robusta", IF(I131="Exc","Excelsa",IF(I131="Lib","Librica",IF(I131="Ara","Arabica",""))))</f>
        <v>Excelsa</v>
      </c>
      <c r="O131" t="str">
        <f t="shared" ref="O131:O194" si="8">IF(J131="M","Medium",IF(J131="L","Light", 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f>_xlfn.XLOOKUP(C132,customers!$A$1:$A$1001,customers!$C$1:$C$1001,0)</f>
        <v>0</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6"/>
        <v>12.95</v>
      </c>
      <c r="N135" t="str">
        <f t="shared" si="7"/>
        <v>Librica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f>_xlfn.XLOOKUP(C136,customers!$A$1:$A$1001,customers!$C$1:$C$1001,0)</f>
        <v>0</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f>_xlfn.XLOOKUP(C139,customers!$A$1:$A$1001,customers!$C$1:$C$1001,0)</f>
        <v>0</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f>_xlfn.XLOOKUP(C140,customers!$A$1:$A$1001,customers!$C$1:$C$1001,0)</f>
        <v>0</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f>_xlfn.XLOOKUP(C141,customers!$A$1:$A$1001,customers!$C$1:$C$1001,0)</f>
        <v>0</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6"/>
        <v>77.699999999999989</v>
      </c>
      <c r="N141" t="str">
        <f t="shared" si="7"/>
        <v>Librica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6"/>
        <v>29.784999999999997</v>
      </c>
      <c r="N142" t="str">
        <f t="shared" si="7"/>
        <v>Librica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f>_xlfn.XLOOKUP(C144,customers!$A$1:$A$1001,customers!$C$1:$C$1001,0)</f>
        <v>0</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6"/>
        <v>17.46</v>
      </c>
      <c r="N145" t="str">
        <f t="shared" si="7"/>
        <v>Librica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6"/>
        <v>17.46</v>
      </c>
      <c r="N147" t="str">
        <f t="shared" si="7"/>
        <v>Librica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6"/>
        <v>43.650000000000006</v>
      </c>
      <c r="N148" t="str">
        <f t="shared" si="7"/>
        <v>Librica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f>_xlfn.XLOOKUP(C151,customers!$A$1:$A$1001,customers!$C$1:$C$1001,0)</f>
        <v>0</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6"/>
        <v>12.95</v>
      </c>
      <c r="N152" t="str">
        <f t="shared" si="7"/>
        <v>Librica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f>_xlfn.XLOOKUP(C153,customers!$A$1:$A$1001,customers!$C$1:$C$1001,0)</f>
        <v>0</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f>_xlfn.XLOOKUP(C155,customers!$A$1:$A$1001,customers!$C$1:$C$1001,0)</f>
        <v>0</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f>_xlfn.XLOOKUP(C160,customers!$A$1:$A$1001,customers!$C$1:$C$1001,0)</f>
        <v>0</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f>_xlfn.XLOOKUP(C161,customers!$A$1:$A$1001,customers!$C$1:$C$1001,0)</f>
        <v>0</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6"/>
        <v>218.73</v>
      </c>
      <c r="N161" t="str">
        <f t="shared" si="7"/>
        <v>Librica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f>_xlfn.XLOOKUP(C167,customers!$A$1:$A$1001,customers!$C$1:$C$1001,0)</f>
        <v>0</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f>_xlfn.XLOOKUP(C168,customers!$A$1:$A$1001,customers!$C$1:$C$1001,0)</f>
        <v>0</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f>_xlfn.XLOOKUP(C170,customers!$A$1:$A$1001,customers!$C$1:$C$1001,0)</f>
        <v>0</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f>_xlfn.XLOOKUP(C176,customers!$A$1:$A$1001,customers!$C$1:$C$1001,0)</f>
        <v>0</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f>_xlfn.XLOOKUP(C181,customers!$A$1:$A$1001,customers!$C$1:$C$1001,0)</f>
        <v>0</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6"/>
        <v>43.650000000000006</v>
      </c>
      <c r="N189" t="str">
        <f t="shared" si="7"/>
        <v>Librica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6"/>
        <v>43.650000000000006</v>
      </c>
      <c r="N191" t="str">
        <f t="shared" si="7"/>
        <v>Librica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6"/>
        <v>33.464999999999996</v>
      </c>
      <c r="N192" t="str">
        <f t="shared" si="7"/>
        <v>Librica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6"/>
        <v>19.424999999999997</v>
      </c>
      <c r="N193" t="str">
        <f t="shared" si="7"/>
        <v>Librica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f>_xlfn.XLOOKUP(C195,customers!$A$1:$A$1001,customers!$C$1:$C$1001,0)</f>
        <v>0</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IF(I195="Rob","Robusta", IF(I195="Exc","Excelsa",IF(I195="Lib","Librica",IF(I195="Ara","Arabica",""))))</f>
        <v>Excelsa</v>
      </c>
      <c r="O195" t="str">
        <f t="shared" ref="O195:O258" si="11">IF(J195="M","Medium",IF(J195="L","Light", 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9"/>
        <v>59.569999999999993</v>
      </c>
      <c r="N199" t="str">
        <f t="shared" si="10"/>
        <v>Librica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9"/>
        <v>89.35499999999999</v>
      </c>
      <c r="N200" t="str">
        <f t="shared" si="10"/>
        <v>Librica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9"/>
        <v>38.04</v>
      </c>
      <c r="N201" t="str">
        <f t="shared" si="10"/>
        <v>Librica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f>_xlfn.XLOOKUP(C203,customers!$A$1:$A$1001,customers!$C$1:$C$1001,0)</f>
        <v>0</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9"/>
        <v>57.06</v>
      </c>
      <c r="N203" t="str">
        <f t="shared" si="10"/>
        <v>Librica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9"/>
        <v>178.70999999999998</v>
      </c>
      <c r="N204" t="str">
        <f t="shared" si="10"/>
        <v>Librica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9"/>
        <v>4.7549999999999999</v>
      </c>
      <c r="N205" t="str">
        <f t="shared" si="10"/>
        <v>Librica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f>_xlfn.XLOOKUP(C206,customers!$A$1:$A$1001,customers!$C$1:$C$1001,0)</f>
        <v>0</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f>_xlfn.XLOOKUP(C207,customers!$A$1:$A$1001,customers!$C$1:$C$1001,0)</f>
        <v>0</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9"/>
        <v>51.8</v>
      </c>
      <c r="N212" t="str">
        <f t="shared" si="10"/>
        <v>Librica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9"/>
        <v>31.7</v>
      </c>
      <c r="N216" t="str">
        <f t="shared" si="10"/>
        <v>Librica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9"/>
        <v>23.31</v>
      </c>
      <c r="N217" t="str">
        <f t="shared" si="10"/>
        <v>Librica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9"/>
        <v>58.2</v>
      </c>
      <c r="N218" t="str">
        <f t="shared" si="10"/>
        <v>Librica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9"/>
        <v>23.31</v>
      </c>
      <c r="N224" t="str">
        <f t="shared" si="10"/>
        <v>Librica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f>_xlfn.XLOOKUP(C225,customers!$A$1:$A$1001,customers!$C$1:$C$1001,0)</f>
        <v>0</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9"/>
        <v>119.13999999999999</v>
      </c>
      <c r="N226" t="str">
        <f t="shared" si="10"/>
        <v>Librica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9"/>
        <v>8.73</v>
      </c>
      <c r="N231" t="str">
        <f t="shared" si="10"/>
        <v>Librica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f>_xlfn.XLOOKUP(C233,customers!$A$1:$A$1001,customers!$C$1:$C$1001,0)</f>
        <v>0</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9"/>
        <v>8.73</v>
      </c>
      <c r="N233" t="str">
        <f t="shared" si="10"/>
        <v>Librica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9"/>
        <v>23.774999999999999</v>
      </c>
      <c r="N234" t="str">
        <f t="shared" si="10"/>
        <v>Librica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9"/>
        <v>36.454999999999998</v>
      </c>
      <c r="N236" t="str">
        <f t="shared" si="10"/>
        <v>Librica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f>_xlfn.XLOOKUP(C237,customers!$A$1:$A$1001,customers!$C$1:$C$1001,0)</f>
        <v>0</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9"/>
        <v>182.27499999999998</v>
      </c>
      <c r="N237" t="str">
        <f t="shared" si="10"/>
        <v>Librica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9"/>
        <v>89.35499999999999</v>
      </c>
      <c r="N238" t="str">
        <f t="shared" si="10"/>
        <v>Librica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f>_xlfn.XLOOKUP(C239,customers!$A$1:$A$1001,customers!$C$1:$C$1001,0)</f>
        <v>0</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f>_xlfn.XLOOKUP(C242,customers!$A$1:$A$1001,customers!$C$1:$C$1001,0)</f>
        <v>0</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f>_xlfn.XLOOKUP(C243,customers!$A$1:$A$1001,customers!$C$1:$C$1001,0)</f>
        <v>0</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9"/>
        <v>133.85999999999999</v>
      </c>
      <c r="N246" t="str">
        <f t="shared" si="10"/>
        <v>Librica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9"/>
        <v>23.774999999999999</v>
      </c>
      <c r="N247" t="str">
        <f t="shared" si="10"/>
        <v>Librica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9"/>
        <v>38.849999999999994</v>
      </c>
      <c r="N248" t="str">
        <f t="shared" si="10"/>
        <v>Librica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f>_xlfn.XLOOKUP(C249,customers!$A$1:$A$1001,customers!$C$1:$C$1001,0)</f>
        <v>0</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9"/>
        <v>15.85</v>
      </c>
      <c r="N251" t="str">
        <f t="shared" si="10"/>
        <v>Librica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f>_xlfn.XLOOKUP(C254,customers!$A$1:$A$1001,customers!$C$1:$C$1001,0)</f>
        <v>0</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9"/>
        <v>58.2</v>
      </c>
      <c r="N255" t="str">
        <f t="shared" si="10"/>
        <v>Librica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si="9"/>
        <v>17.46</v>
      </c>
      <c r="N258" t="str">
        <f t="shared" si="10"/>
        <v>Librica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IF(I259="Rob","Robusta", IF(I259="Exc","Excelsa",IF(I259="Lib","Librica",IF(I259="Ara","Arabica",""))))</f>
        <v>Excelsa</v>
      </c>
      <c r="O259" t="str">
        <f t="shared" ref="O259:O322" si="14">IF(J259="M","Medium",IF(J259="L","Light", 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f>_xlfn.XLOOKUP(C265,customers!$A$1:$A$1001,customers!$C$1:$C$1001,0)</f>
        <v>0</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12"/>
        <v>133.85999999999999</v>
      </c>
      <c r="N265" t="str">
        <f t="shared" si="13"/>
        <v>Librica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f>_xlfn.XLOOKUP(C266,customers!$A$1:$A$1001,customers!$C$1:$C$1001,0)</f>
        <v>0</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f>_xlfn.XLOOKUP(C272,customers!$A$1:$A$1001,customers!$C$1:$C$1001,0)</f>
        <v>0</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12"/>
        <v>33.464999999999996</v>
      </c>
      <c r="N281" t="str">
        <f t="shared" si="13"/>
        <v>Librica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f>_xlfn.XLOOKUP(C282,customers!$A$1:$A$1001,customers!$C$1:$C$1001,0)</f>
        <v>0</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f>_xlfn.XLOOKUP(C286,customers!$A$1:$A$1001,customers!$C$1:$C$1001,0)</f>
        <v>0</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f>_xlfn.XLOOKUP(C287,customers!$A$1:$A$1001,customers!$C$1:$C$1001,0)</f>
        <v>0</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12"/>
        <v>36.454999999999998</v>
      </c>
      <c r="N287" t="str">
        <f t="shared" si="13"/>
        <v>Librica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f>_xlfn.XLOOKUP(C290,customers!$A$1:$A$1001,customers!$C$1:$C$1001,0)</f>
        <v>0</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f>_xlfn.XLOOKUP(C291,customers!$A$1:$A$1001,customers!$C$1:$C$1001,0)</f>
        <v>0</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f>_xlfn.XLOOKUP(C293,customers!$A$1:$A$1001,customers!$C$1:$C$1001,0)</f>
        <v>0</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f>_xlfn.XLOOKUP(C296,customers!$A$1:$A$1001,customers!$C$1:$C$1001,0)</f>
        <v>0</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f>_xlfn.XLOOKUP(C297,customers!$A$1:$A$1001,customers!$C$1:$C$1001,0)</f>
        <v>0</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12"/>
        <v>15.54</v>
      </c>
      <c r="N303" t="str">
        <f t="shared" si="13"/>
        <v>Librica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12"/>
        <v>21.825000000000003</v>
      </c>
      <c r="N307" t="str">
        <f t="shared" si="13"/>
        <v>Librica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12"/>
        <v>26.19</v>
      </c>
      <c r="N311" t="str">
        <f t="shared" si="13"/>
        <v>Librica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f>_xlfn.XLOOKUP(C316,customers!$A$1:$A$1001,customers!$C$1:$C$1001,0)</f>
        <v>0</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IF(I323="Rob","Robusta", IF(I323="Exc","Excelsa",IF(I323="Lib","Librica",IF(I323="Ara","Arabica",""))))</f>
        <v>Arabica</v>
      </c>
      <c r="O323" t="str">
        <f t="shared" ref="O323:O386" si="17">IF(J323="M","Medium",IF(J323="L","Light", 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15"/>
        <v>23.31</v>
      </c>
      <c r="N324" t="str">
        <f t="shared" si="16"/>
        <v>Librica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f>_xlfn.XLOOKUP(C326,customers!$A$1:$A$1001,customers!$C$1:$C$1001,0)</f>
        <v>0</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f>_xlfn.XLOOKUP(C328,customers!$A$1:$A$1001,customers!$C$1:$C$1001,0)</f>
        <v>0</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f>_xlfn.XLOOKUP(C330,customers!$A$1:$A$1001,customers!$C$1:$C$1001,0)</f>
        <v>0</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15"/>
        <v>38.04</v>
      </c>
      <c r="N330" t="str">
        <f t="shared" si="16"/>
        <v>Librica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f>_xlfn.XLOOKUP(C336,customers!$A$1:$A$1001,customers!$C$1:$C$1001,0)</f>
        <v>0</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15"/>
        <v>28.53</v>
      </c>
      <c r="N337" t="str">
        <f t="shared" si="16"/>
        <v>Librica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f>_xlfn.XLOOKUP(C339,customers!$A$1:$A$1001,customers!$C$1:$C$1001,0)</f>
        <v>0</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15"/>
        <v>38.849999999999994</v>
      </c>
      <c r="N344" t="str">
        <f t="shared" si="16"/>
        <v>Librica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f>_xlfn.XLOOKUP(C346,customers!$A$1:$A$1001,customers!$C$1:$C$1001,0)</f>
        <v>0</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15"/>
        <v>43.650000000000006</v>
      </c>
      <c r="N349" t="str">
        <f t="shared" si="16"/>
        <v>Librica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f>_xlfn.XLOOKUP(C354,customers!$A$1:$A$1001,customers!$C$1:$C$1001,0)</f>
        <v>0</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f>_xlfn.XLOOKUP(C355,customers!$A$1:$A$1001,customers!$C$1:$C$1001,0)</f>
        <v>0</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15"/>
        <v>51.8</v>
      </c>
      <c r="N358" t="str">
        <f t="shared" si="16"/>
        <v>Librica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f>_xlfn.XLOOKUP(C359,customers!$A$1:$A$1001,customers!$C$1:$C$1001,0)</f>
        <v>0</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15"/>
        <v>87.300000000000011</v>
      </c>
      <c r="N365" t="str">
        <f t="shared" si="16"/>
        <v>Librica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15"/>
        <v>7.77</v>
      </c>
      <c r="N367" t="str">
        <f t="shared" si="16"/>
        <v>Librica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f>_xlfn.XLOOKUP(C368,customers!$A$1:$A$1001,customers!$C$1:$C$1001,0)</f>
        <v>0</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f>_xlfn.XLOOKUP(C369,customers!$A$1:$A$1001,customers!$C$1:$C$1001,0)</f>
        <v>0</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15"/>
        <v>8.73</v>
      </c>
      <c r="N369" t="str">
        <f t="shared" si="16"/>
        <v>Librica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f>_xlfn.XLOOKUP(C371,customers!$A$1:$A$1001,customers!$C$1:$C$1001,0)</f>
        <v>0</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f>_xlfn.XLOOKUP(C375,customers!$A$1:$A$1001,customers!$C$1:$C$1001,0)</f>
        <v>0</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15"/>
        <v>38.04</v>
      </c>
      <c r="N376" t="str">
        <f t="shared" si="16"/>
        <v>Librica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f>_xlfn.XLOOKUP(C382,customers!$A$1:$A$1001,customers!$C$1:$C$1001,0)</f>
        <v>0</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15"/>
        <v>23.31</v>
      </c>
      <c r="N382" t="str">
        <f t="shared" si="16"/>
        <v>Librica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f>_xlfn.XLOOKUP(C385,customers!$A$1:$A$1001,customers!$C$1:$C$1001,0)</f>
        <v>0</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f>_xlfn.XLOOKUP(C386,customers!$A$1:$A$1001,customers!$C$1:$C$1001,0)</f>
        <v>0</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IF(I387="Rob","Robusta", IF(I387="Exc","Excelsa",IF(I387="Lib","Librica",IF(I387="Ara","Arabica",""))))</f>
        <v>Librica</v>
      </c>
      <c r="O387" t="str">
        <f t="shared" ref="O387:O450" si="20">IF(J387="M","Medium",IF(J387="L","Light", 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f>_xlfn.XLOOKUP(C388,customers!$A$1:$A$1001,customers!$C$1:$C$1001,0)</f>
        <v>0</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18"/>
        <v>11.654999999999999</v>
      </c>
      <c r="N390" t="str">
        <f t="shared" si="19"/>
        <v>Librica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18"/>
        <v>23.31</v>
      </c>
      <c r="N391" t="str">
        <f t="shared" si="19"/>
        <v>Librica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18"/>
        <v>46.62</v>
      </c>
      <c r="N397" t="str">
        <f t="shared" si="19"/>
        <v>Librica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18"/>
        <v>31.08</v>
      </c>
      <c r="N399" t="str">
        <f t="shared" si="19"/>
        <v>Librica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18"/>
        <v>63.4</v>
      </c>
      <c r="N402" t="str">
        <f t="shared" si="19"/>
        <v>Librica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18"/>
        <v>8.73</v>
      </c>
      <c r="N403" t="str">
        <f t="shared" si="19"/>
        <v>Librica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18"/>
        <v>9.51</v>
      </c>
      <c r="N405" t="str">
        <f t="shared" si="19"/>
        <v>Librica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f>_xlfn.XLOOKUP(C409,customers!$A$1:$A$1001,customers!$C$1:$C$1001,0)</f>
        <v>0</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f>_xlfn.XLOOKUP(C411,customers!$A$1:$A$1001,customers!$C$1:$C$1001,0)</f>
        <v>0</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18"/>
        <v>47.55</v>
      </c>
      <c r="N411" t="str">
        <f t="shared" si="19"/>
        <v>Librica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f>_xlfn.XLOOKUP(C412,customers!$A$1:$A$1001,customers!$C$1:$C$1001,0)</f>
        <v>0</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f>_xlfn.XLOOKUP(C413,customers!$A$1:$A$1001,customers!$C$1:$C$1001,0)</f>
        <v>0</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18"/>
        <v>87.300000000000011</v>
      </c>
      <c r="N413" t="str">
        <f t="shared" si="19"/>
        <v>Librica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f>_xlfn.XLOOKUP(C414,customers!$A$1:$A$1001,customers!$C$1:$C$1001,0)</f>
        <v>0</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18"/>
        <v>36.454999999999998</v>
      </c>
      <c r="N415" t="str">
        <f t="shared" si="19"/>
        <v>Librica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f>_xlfn.XLOOKUP(C416,customers!$A$1:$A$1001,customers!$C$1:$C$1001,0)</f>
        <v>0</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f>_xlfn.XLOOKUP(C418,customers!$A$1:$A$1001,customers!$C$1:$C$1001,0)</f>
        <v>0</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f>_xlfn.XLOOKUP(C419,customers!$A$1:$A$1001,customers!$C$1:$C$1001,0)</f>
        <v>0</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18"/>
        <v>8.73</v>
      </c>
      <c r="N421" t="str">
        <f t="shared" si="19"/>
        <v>Librica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18"/>
        <v>31.08</v>
      </c>
      <c r="N422" t="str">
        <f t="shared" si="19"/>
        <v>Librica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f>_xlfn.XLOOKUP(C424,customers!$A$1:$A$1001,customers!$C$1:$C$1001,0)</f>
        <v>0</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f>_xlfn.XLOOKUP(C425,customers!$A$1:$A$1001,customers!$C$1:$C$1001,0)</f>
        <v>0</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f>_xlfn.XLOOKUP(C429,customers!$A$1:$A$1001,customers!$C$1:$C$1001,0)</f>
        <v>0</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f>_xlfn.XLOOKUP(C434,customers!$A$1:$A$1001,customers!$C$1:$C$1001,0)</f>
        <v>0</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18"/>
        <v>200.78999999999996</v>
      </c>
      <c r="N435" t="str">
        <f t="shared" si="19"/>
        <v>Librica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f>_xlfn.XLOOKUP(C436,customers!$A$1:$A$1001,customers!$C$1:$C$1001,0)</f>
        <v>0</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18"/>
        <v>9.51</v>
      </c>
      <c r="N438" t="str">
        <f t="shared" si="19"/>
        <v>Librica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f>_xlfn.XLOOKUP(C439,customers!$A$1:$A$1001,customers!$C$1:$C$1001,0)</f>
        <v>0</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18"/>
        <v>29.784999999999997</v>
      </c>
      <c r="N439" t="str">
        <f t="shared" si="19"/>
        <v>Librica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18"/>
        <v>15.54</v>
      </c>
      <c r="N440" t="str">
        <f t="shared" si="19"/>
        <v>Librica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18"/>
        <v>66.929999999999993</v>
      </c>
      <c r="N447" t="str">
        <f t="shared" si="19"/>
        <v>Librica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18"/>
        <v>8.73</v>
      </c>
      <c r="N448" t="str">
        <f t="shared" si="19"/>
        <v>Librica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IF(I451="Rob","Robusta", IF(I451="Exc","Excelsa",IF(I451="Lib","Librica",IF(I451="Ara","Arabica",""))))</f>
        <v>Robusta</v>
      </c>
      <c r="O451" t="str">
        <f t="shared" ref="O451:O514" si="23">IF(J451="M","Medium",IF(J451="L","Light", 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21"/>
        <v>23.774999999999999</v>
      </c>
      <c r="N452" t="str">
        <f t="shared" si="22"/>
        <v>Librica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21"/>
        <v>38.04</v>
      </c>
      <c r="N455" t="str">
        <f t="shared" si="22"/>
        <v>Librica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21"/>
        <v>9.51</v>
      </c>
      <c r="N457" t="str">
        <f t="shared" si="22"/>
        <v>Librica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21"/>
        <v>47.55</v>
      </c>
      <c r="N459" t="str">
        <f t="shared" si="22"/>
        <v>Librica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21"/>
        <v>23.774999999999999</v>
      </c>
      <c r="N461" t="str">
        <f t="shared" si="22"/>
        <v>Librica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21"/>
        <v>119.13999999999999</v>
      </c>
      <c r="N466" t="str">
        <f t="shared" si="22"/>
        <v>Librica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f>_xlfn.XLOOKUP(C473,customers!$A$1:$A$1001,customers!$C$1:$C$1001,0)</f>
        <v>0</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21"/>
        <v>133.85999999999999</v>
      </c>
      <c r="N473" t="str">
        <f t="shared" si="22"/>
        <v>Librica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21"/>
        <v>8.73</v>
      </c>
      <c r="N477" t="str">
        <f t="shared" si="22"/>
        <v>Librica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21"/>
        <v>26.19</v>
      </c>
      <c r="N479" t="str">
        <f t="shared" si="22"/>
        <v>Librica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f>_xlfn.XLOOKUP(C485,customers!$A$1:$A$1001,customers!$C$1:$C$1001,0)</f>
        <v>0</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21"/>
        <v>59.569999999999993</v>
      </c>
      <c r="N485" t="str">
        <f t="shared" si="22"/>
        <v>Librica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21"/>
        <v>57.06</v>
      </c>
      <c r="N486" t="str">
        <f t="shared" si="22"/>
        <v>Librica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21"/>
        <v>52.38</v>
      </c>
      <c r="N488" t="str">
        <f t="shared" si="22"/>
        <v>Librica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21"/>
        <v>95.1</v>
      </c>
      <c r="N491" t="str">
        <f t="shared" si="22"/>
        <v>Librica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21"/>
        <v>15.54</v>
      </c>
      <c r="N492" t="str">
        <f t="shared" si="22"/>
        <v>Librica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f>_xlfn.XLOOKUP(C493,customers!$A$1:$A$1001,customers!$C$1:$C$1001,0)</f>
        <v>0</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21"/>
        <v>23.31</v>
      </c>
      <c r="N493" t="str">
        <f t="shared" si="22"/>
        <v>Librica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21"/>
        <v>31.7</v>
      </c>
      <c r="N496" t="str">
        <f t="shared" si="22"/>
        <v>Librica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f>_xlfn.XLOOKUP(C497,customers!$A$1:$A$1001,customers!$C$1:$C$1001,0)</f>
        <v>0</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21"/>
        <v>79.25</v>
      </c>
      <c r="N497" t="str">
        <f t="shared" si="22"/>
        <v>Librica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f>_xlfn.XLOOKUP(C501,customers!$A$1:$A$1001,customers!$C$1:$C$1001,0)</f>
        <v>0</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f>_xlfn.XLOOKUP(C502,customers!$A$1:$A$1001,customers!$C$1:$C$1001,0)</f>
        <v>0</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21"/>
        <v>51.8</v>
      </c>
      <c r="N505" t="str">
        <f t="shared" si="22"/>
        <v>Librica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21"/>
        <v>14.265000000000001</v>
      </c>
      <c r="N506" t="str">
        <f t="shared" si="22"/>
        <v>Librica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21"/>
        <v>26.19</v>
      </c>
      <c r="N507" t="str">
        <f t="shared" si="22"/>
        <v>Librica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21"/>
        <v>46.62</v>
      </c>
      <c r="N510" t="str">
        <f t="shared" si="22"/>
        <v>Librica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si="21"/>
        <v>47.55</v>
      </c>
      <c r="N514" t="str">
        <f t="shared" si="22"/>
        <v>Librica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IF(I515="Rob","Robusta", IF(I515="Exc","Excelsa",IF(I515="Lib","Librica",IF(I515="Ara","Arabica",""))))</f>
        <v>Librica</v>
      </c>
      <c r="O515" t="str">
        <f t="shared" ref="O515:O578" si="26">IF(J515="M","Medium",IF(J515="L","Light", 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24"/>
        <v>26.19</v>
      </c>
      <c r="N516" t="str">
        <f t="shared" si="25"/>
        <v>Librica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f>_xlfn.XLOOKUP(C518,customers!$A$1:$A$1001,customers!$C$1:$C$1001,0)</f>
        <v>0</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f>_xlfn.XLOOKUP(C519,customers!$A$1:$A$1001,customers!$C$1:$C$1001,0)</f>
        <v>0</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24"/>
        <v>7.77</v>
      </c>
      <c r="N519" t="str">
        <f t="shared" si="25"/>
        <v>Librica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24"/>
        <v>3.8849999999999998</v>
      </c>
      <c r="N522" t="str">
        <f t="shared" si="25"/>
        <v>Librica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24"/>
        <v>29.784999999999997</v>
      </c>
      <c r="N525" t="str">
        <f t="shared" si="25"/>
        <v>Librica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f>_xlfn.XLOOKUP(C526,customers!$A$1:$A$1001,customers!$C$1:$C$1001,0)</f>
        <v>0</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24"/>
        <v>72.91</v>
      </c>
      <c r="N526" t="str">
        <f t="shared" si="25"/>
        <v>Librica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f>_xlfn.XLOOKUP(C527,customers!$A$1:$A$1001,customers!$C$1:$C$1001,0)</f>
        <v>0</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f>_xlfn.XLOOKUP(C535,customers!$A$1:$A$1001,customers!$C$1:$C$1001,0)</f>
        <v>0</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f>_xlfn.XLOOKUP(C537,customers!$A$1:$A$1001,customers!$C$1:$C$1001,0)</f>
        <v>0</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24"/>
        <v>9.51</v>
      </c>
      <c r="N537" t="str">
        <f t="shared" si="25"/>
        <v>Librica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24"/>
        <v>63.4</v>
      </c>
      <c r="N542" t="str">
        <f t="shared" si="25"/>
        <v>Librica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f>_xlfn.XLOOKUP(C543,customers!$A$1:$A$1001,customers!$C$1:$C$1001,0)</f>
        <v>0</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24"/>
        <v>15.54</v>
      </c>
      <c r="N547" t="str">
        <f t="shared" si="25"/>
        <v>Librica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f>_xlfn.XLOOKUP(C548,customers!$A$1:$A$1001,customers!$C$1:$C$1001,0)</f>
        <v>0</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24"/>
        <v>23.31</v>
      </c>
      <c r="N552" t="str">
        <f t="shared" si="25"/>
        <v>Librica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f>_xlfn.XLOOKUP(C556,customers!$A$1:$A$1001,customers!$C$1:$C$1001,0)</f>
        <v>0</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24"/>
        <v>8.73</v>
      </c>
      <c r="N558" t="str">
        <f t="shared" si="25"/>
        <v>Librica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f>_xlfn.XLOOKUP(C560,customers!$A$1:$A$1001,customers!$C$1:$C$1001,0)</f>
        <v>0</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24"/>
        <v>15.54</v>
      </c>
      <c r="N560" t="str">
        <f t="shared" si="25"/>
        <v>Librica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f>_xlfn.XLOOKUP(C562,customers!$A$1:$A$1001,customers!$C$1:$C$1001,0)</f>
        <v>0</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f>_xlfn.XLOOKUP(C563,customers!$A$1:$A$1001,customers!$C$1:$C$1001,0)</f>
        <v>0</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24"/>
        <v>28.53</v>
      </c>
      <c r="N564" t="str">
        <f t="shared" si="25"/>
        <v>Librica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f>_xlfn.XLOOKUP(C569,customers!$A$1:$A$1001,customers!$C$1:$C$1001,0)</f>
        <v>0</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24"/>
        <v>19.02</v>
      </c>
      <c r="N570" t="str">
        <f t="shared" si="25"/>
        <v>Librica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f>_xlfn.XLOOKUP(C574,customers!$A$1:$A$1001,customers!$C$1:$C$1001,0)</f>
        <v>0</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24"/>
        <v>66.929999999999993</v>
      </c>
      <c r="N577" t="str">
        <f t="shared" si="25"/>
        <v>Librica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IF(I579="Rob","Robusta", IF(I579="Exc","Excelsa",IF(I579="Lib","Librica",IF(I579="Ara","Arabica",""))))</f>
        <v>Librica</v>
      </c>
      <c r="O579" t="str">
        <f t="shared" ref="O579:O642" si="29">IF(J579="M","Medium",IF(J579="L","Light", 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f>_xlfn.XLOOKUP(C588,customers!$A$1:$A$1001,customers!$C$1:$C$1001,0)</f>
        <v>0</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27"/>
        <v>7.77</v>
      </c>
      <c r="N589" t="str">
        <f t="shared" si="28"/>
        <v>Librica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f>_xlfn.XLOOKUP(C594,customers!$A$1:$A$1001,customers!$C$1:$C$1001,0)</f>
        <v>0</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f>_xlfn.XLOOKUP(C597,customers!$A$1:$A$1001,customers!$C$1:$C$1001,0)</f>
        <v>0</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27"/>
        <v>145.82</v>
      </c>
      <c r="N599" t="str">
        <f t="shared" si="28"/>
        <v>Librica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27"/>
        <v>7.77</v>
      </c>
      <c r="N602" t="str">
        <f t="shared" si="28"/>
        <v>Librica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f>_xlfn.XLOOKUP(C606,customers!$A$1:$A$1001,customers!$C$1:$C$1001,0)</f>
        <v>0</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27"/>
        <v>119.13999999999999</v>
      </c>
      <c r="N606" t="str">
        <f t="shared" si="28"/>
        <v>Librica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27"/>
        <v>109.36499999999999</v>
      </c>
      <c r="N608" t="str">
        <f t="shared" si="28"/>
        <v>Librica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f>_xlfn.XLOOKUP(C610,customers!$A$1:$A$1001,customers!$C$1:$C$1001,0)</f>
        <v>0</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27"/>
        <v>26.19</v>
      </c>
      <c r="N611" t="str">
        <f t="shared" si="28"/>
        <v>Librica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f>_xlfn.XLOOKUP(C614,customers!$A$1:$A$1001,customers!$C$1:$C$1001,0)</f>
        <v>0</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f>_xlfn.XLOOKUP(C615,customers!$A$1:$A$1001,customers!$C$1:$C$1001,0)</f>
        <v>0</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27"/>
        <v>72.91</v>
      </c>
      <c r="N617" t="str">
        <f t="shared" si="28"/>
        <v>Librica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27"/>
        <v>33.464999999999996</v>
      </c>
      <c r="N619" t="str">
        <f t="shared" si="28"/>
        <v>Librica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27"/>
        <v>15.54</v>
      </c>
      <c r="N621" t="str">
        <f t="shared" si="28"/>
        <v>Librica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27"/>
        <v>133.85999999999999</v>
      </c>
      <c r="N624" t="str">
        <f t="shared" si="28"/>
        <v>Librica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f>_xlfn.XLOOKUP(C625,customers!$A$1:$A$1001,customers!$C$1:$C$1001,0)</f>
        <v>0</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27"/>
        <v>31.08</v>
      </c>
      <c r="N631" t="str">
        <f t="shared" si="28"/>
        <v>Librica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27"/>
        <v>43.650000000000006</v>
      </c>
      <c r="N636" t="str">
        <f t="shared" si="28"/>
        <v>Librica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27"/>
        <v>95.1</v>
      </c>
      <c r="N638" t="str">
        <f t="shared" si="28"/>
        <v>Librica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f>_xlfn.XLOOKUP(C640,customers!$A$1:$A$1001,customers!$C$1:$C$1001,0)</f>
        <v>0</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27"/>
        <v>3.8849999999999998</v>
      </c>
      <c r="N641" t="str">
        <f t="shared" si="28"/>
        <v>Librica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IF(I643="Rob","Robusta", IF(I643="Exc","Excelsa",IF(I643="Lib","Librica",IF(I643="Ara","Arabica",""))))</f>
        <v>Robusta</v>
      </c>
      <c r="O643" t="str">
        <f t="shared" ref="O643:O706" si="32">IF(J643="M","Medium",IF(J643="L","Light", 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f>_xlfn.XLOOKUP(C646,customers!$A$1:$A$1001,customers!$C$1:$C$1001,0)</f>
        <v>0</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30"/>
        <v>28.53</v>
      </c>
      <c r="N649" t="str">
        <f t="shared" si="31"/>
        <v>Librica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30"/>
        <v>95.1</v>
      </c>
      <c r="N651" t="str">
        <f t="shared" si="31"/>
        <v>Librica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f>_xlfn.XLOOKUP(C653,customers!$A$1:$A$1001,customers!$C$1:$C$1001,0)</f>
        <v>0</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30"/>
        <v>63.4</v>
      </c>
      <c r="N654" t="str">
        <f t="shared" si="31"/>
        <v>Librica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30"/>
        <v>51.8</v>
      </c>
      <c r="N658" t="str">
        <f t="shared" si="31"/>
        <v>Librica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30"/>
        <v>148.92499999999998</v>
      </c>
      <c r="N664" t="str">
        <f t="shared" si="31"/>
        <v>Librica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30"/>
        <v>7.77</v>
      </c>
      <c r="N667" t="str">
        <f t="shared" si="31"/>
        <v>Librica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30"/>
        <v>66.929999999999993</v>
      </c>
      <c r="N671" t="str">
        <f t="shared" si="31"/>
        <v>Librica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30"/>
        <v>13.095000000000001</v>
      </c>
      <c r="N672" t="str">
        <f t="shared" si="31"/>
        <v>Librica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30"/>
        <v>43.650000000000006</v>
      </c>
      <c r="N674" t="str">
        <f t="shared" si="31"/>
        <v>Librica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f>_xlfn.XLOOKUP(C677,customers!$A$1:$A$1001,customers!$C$1:$C$1001,0)</f>
        <v>0</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30"/>
        <v>119.13999999999999</v>
      </c>
      <c r="N677" t="str">
        <f t="shared" si="31"/>
        <v>Librica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f>_xlfn.XLOOKUP(C678,customers!$A$1:$A$1001,customers!$C$1:$C$1001,0)</f>
        <v>0</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30"/>
        <v>47.55</v>
      </c>
      <c r="N678" t="str">
        <f t="shared" si="31"/>
        <v>Librica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30"/>
        <v>43.650000000000006</v>
      </c>
      <c r="N679" t="str">
        <f t="shared" si="31"/>
        <v>Librica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30"/>
        <v>9.51</v>
      </c>
      <c r="N683" t="str">
        <f t="shared" si="31"/>
        <v>Librica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30"/>
        <v>46.62</v>
      </c>
      <c r="N685" t="str">
        <f t="shared" si="31"/>
        <v>Librica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f>_xlfn.XLOOKUP(C686,customers!$A$1:$A$1001,customers!$C$1:$C$1001,0)</f>
        <v>0</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30"/>
        <v>72.91</v>
      </c>
      <c r="N687" t="str">
        <f t="shared" si="31"/>
        <v>Librica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f>_xlfn.XLOOKUP(C692,customers!$A$1:$A$1001,customers!$C$1:$C$1001,0)</f>
        <v>0</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30"/>
        <v>178.70999999999998</v>
      </c>
      <c r="N692" t="str">
        <f t="shared" si="31"/>
        <v>Librica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30"/>
        <v>12.95</v>
      </c>
      <c r="N694" t="str">
        <f t="shared" si="31"/>
        <v>Librica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30"/>
        <v>182.27499999999998</v>
      </c>
      <c r="N697" t="str">
        <f t="shared" si="31"/>
        <v>Librica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30"/>
        <v>31.08</v>
      </c>
      <c r="N698" t="str">
        <f t="shared" si="31"/>
        <v>Librica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f>_xlfn.XLOOKUP(C699,customers!$A$1:$A$1001,customers!$C$1:$C$1001,0)</f>
        <v>0</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30"/>
        <v>25.9</v>
      </c>
      <c r="N700" t="str">
        <f t="shared" si="31"/>
        <v>Librica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30"/>
        <v>19.02</v>
      </c>
      <c r="N702" t="str">
        <f t="shared" si="31"/>
        <v>Librica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f>_xlfn.XLOOKUP(C705,customers!$A$1:$A$1001,customers!$C$1:$C$1001,0)</f>
        <v>0</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30"/>
        <v>119.13999999999999</v>
      </c>
      <c r="N705" t="str">
        <f t="shared" si="31"/>
        <v>Librica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f>_xlfn.XLOOKUP(C706,customers!$A$1:$A$1001,customers!$C$1:$C$1001,0)</f>
        <v>0</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IF(I707="Rob","Robusta", IF(I707="Exc","Excelsa",IF(I707="Lib","Librica",IF(I707="Ara","Arabica",""))))</f>
        <v>Excelsa</v>
      </c>
      <c r="O707" t="str">
        <f t="shared" ref="O707:O770" si="35">IF(J707="M","Medium",IF(J707="L","Light", 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f>_xlfn.XLOOKUP(C709,customers!$A$1:$A$1001,customers!$C$1:$C$1001,0)</f>
        <v>0</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33"/>
        <v>25.9</v>
      </c>
      <c r="N709" t="str">
        <f t="shared" si="34"/>
        <v>Librica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f>_xlfn.XLOOKUP(C711,customers!$A$1:$A$1001,customers!$C$1:$C$1001,0)</f>
        <v>0</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f>_xlfn.XLOOKUP(C714,customers!$A$1:$A$1001,customers!$C$1:$C$1001,0)</f>
        <v>0</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33"/>
        <v>38.849999999999994</v>
      </c>
      <c r="N720" t="str">
        <f t="shared" si="34"/>
        <v>Librica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33"/>
        <v>79.25</v>
      </c>
      <c r="N721" t="str">
        <f t="shared" si="34"/>
        <v>Librica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f>_xlfn.XLOOKUP(C724,customers!$A$1:$A$1001,customers!$C$1:$C$1001,0)</f>
        <v>0</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f>_xlfn.XLOOKUP(C726,customers!$A$1:$A$1001,customers!$C$1:$C$1001,0)</f>
        <v>0</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f>_xlfn.XLOOKUP(C728,customers!$A$1:$A$1001,customers!$C$1:$C$1001,0)</f>
        <v>0</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33"/>
        <v>145.82</v>
      </c>
      <c r="N728" t="str">
        <f t="shared" si="34"/>
        <v>Librica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33"/>
        <v>4.3650000000000002</v>
      </c>
      <c r="N731" t="str">
        <f t="shared" si="34"/>
        <v>Librica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33"/>
        <v>36.454999999999998</v>
      </c>
      <c r="N732" t="str">
        <f t="shared" si="34"/>
        <v>Librica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f>_xlfn.XLOOKUP(C733,customers!$A$1:$A$1001,customers!$C$1:$C$1001,0)</f>
        <v>0</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33"/>
        <v>15.54</v>
      </c>
      <c r="N733" t="str">
        <f t="shared" si="34"/>
        <v>Librica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33"/>
        <v>100.39499999999998</v>
      </c>
      <c r="N735" t="str">
        <f t="shared" si="34"/>
        <v>Librica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f>_xlfn.XLOOKUP(C736,customers!$A$1:$A$1001,customers!$C$1:$C$1001,0)</f>
        <v>0</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33"/>
        <v>25.9</v>
      </c>
      <c r="N738" t="str">
        <f t="shared" si="34"/>
        <v>Librica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33"/>
        <v>8.73</v>
      </c>
      <c r="N743" t="str">
        <f t="shared" si="34"/>
        <v>Librica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33"/>
        <v>58.2</v>
      </c>
      <c r="N744" t="str">
        <f t="shared" si="34"/>
        <v>Librica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f>_xlfn.XLOOKUP(C746,customers!$A$1:$A$1001,customers!$C$1:$C$1001,0)</f>
        <v>0</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33"/>
        <v>34.92</v>
      </c>
      <c r="N749" t="str">
        <f t="shared" si="34"/>
        <v>Librica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f>_xlfn.XLOOKUP(C752,customers!$A$1:$A$1001,customers!$C$1:$C$1001,0)</f>
        <v>0</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33"/>
        <v>19.02</v>
      </c>
      <c r="N753" t="str">
        <f t="shared" si="34"/>
        <v>Librica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33"/>
        <v>28.53</v>
      </c>
      <c r="N757" t="str">
        <f t="shared" si="34"/>
        <v>Librica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33"/>
        <v>29.784999999999997</v>
      </c>
      <c r="N761" t="str">
        <f t="shared" si="34"/>
        <v>Librica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33"/>
        <v>43.650000000000006</v>
      </c>
      <c r="N764" t="str">
        <f t="shared" si="34"/>
        <v>Librica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f>_xlfn.XLOOKUP(C765,customers!$A$1:$A$1001,customers!$C$1:$C$1001,0)</f>
        <v>0</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IF(I771="Rob","Robusta", IF(I771="Exc","Excelsa",IF(I771="Lib","Librica",IF(I771="Ara","Arabica",""))))</f>
        <v>Robusta</v>
      </c>
      <c r="O771" t="str">
        <f t="shared" ref="O771:O834" si="38">IF(J771="M","Medium",IF(J771="L","Light", 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f>_xlfn.XLOOKUP(C774,customers!$A$1:$A$1001,customers!$C$1:$C$1001,0)</f>
        <v>0</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36"/>
        <v>8.73</v>
      </c>
      <c r="N775" t="str">
        <f t="shared" si="37"/>
        <v>Librica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f>_xlfn.XLOOKUP(C776,customers!$A$1:$A$1001,customers!$C$1:$C$1001,0)</f>
        <v>0</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36"/>
        <v>19.02</v>
      </c>
      <c r="N780" t="str">
        <f t="shared" si="37"/>
        <v>Librica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36"/>
        <v>77.699999999999989</v>
      </c>
      <c r="N781" t="str">
        <f t="shared" si="37"/>
        <v>Librica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f>_xlfn.XLOOKUP(C782,customers!$A$1:$A$1001,customers!$C$1:$C$1001,0)</f>
        <v>0</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36"/>
        <v>145.82</v>
      </c>
      <c r="N783" t="str">
        <f t="shared" si="37"/>
        <v>Librica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36"/>
        <v>43.650000000000006</v>
      </c>
      <c r="N785" t="str">
        <f t="shared" si="37"/>
        <v>Librica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36"/>
        <v>31.7</v>
      </c>
      <c r="N786" t="str">
        <f t="shared" si="37"/>
        <v>Librica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f>_xlfn.XLOOKUP(C789,customers!$A$1:$A$1001,customers!$C$1:$C$1001,0)</f>
        <v>0</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36"/>
        <v>23.774999999999999</v>
      </c>
      <c r="N793" t="str">
        <f t="shared" si="37"/>
        <v>Librica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36"/>
        <v>52.38</v>
      </c>
      <c r="N794" t="str">
        <f t="shared" si="37"/>
        <v>Librica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f>_xlfn.XLOOKUP(C798,customers!$A$1:$A$1001,customers!$C$1:$C$1001,0)</f>
        <v>0</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36"/>
        <v>9.51</v>
      </c>
      <c r="N798" t="str">
        <f t="shared" si="37"/>
        <v>Librica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f>_xlfn.XLOOKUP(C801,customers!$A$1:$A$1001,customers!$C$1:$C$1001,0)</f>
        <v>0</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f>_xlfn.XLOOKUP(C806,customers!$A$1:$A$1001,customers!$C$1:$C$1001,0)</f>
        <v>0</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f>_xlfn.XLOOKUP(C807,customers!$A$1:$A$1001,customers!$C$1:$C$1001,0)</f>
        <v>0</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f>_xlfn.XLOOKUP(C808,customers!$A$1:$A$1001,customers!$C$1:$C$1001,0)</f>
        <v>0</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36"/>
        <v>7.77</v>
      </c>
      <c r="N808" t="str">
        <f t="shared" si="37"/>
        <v>Librica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36"/>
        <v>23.31</v>
      </c>
      <c r="N809" t="str">
        <f t="shared" si="37"/>
        <v>Librica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f>_xlfn.XLOOKUP(C810,customers!$A$1:$A$1001,customers!$C$1:$C$1001,0)</f>
        <v>0</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f>_xlfn.XLOOKUP(C811,customers!$A$1:$A$1001,customers!$C$1:$C$1001,0)</f>
        <v>0</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36"/>
        <v>28.53</v>
      </c>
      <c r="N812" t="str">
        <f t="shared" si="37"/>
        <v>Librica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36"/>
        <v>178.70999999999998</v>
      </c>
      <c r="N814" t="str">
        <f t="shared" si="37"/>
        <v>Librica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36"/>
        <v>38.04</v>
      </c>
      <c r="N818" t="str">
        <f t="shared" si="37"/>
        <v>Librica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36"/>
        <v>15.54</v>
      </c>
      <c r="N819" t="str">
        <f t="shared" si="37"/>
        <v>Librica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f>_xlfn.XLOOKUP(C820,customers!$A$1:$A$1001,customers!$C$1:$C$1001,0)</f>
        <v>0</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36"/>
        <v>79.25</v>
      </c>
      <c r="N820" t="str">
        <f t="shared" si="37"/>
        <v>Librica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36"/>
        <v>4.7549999999999999</v>
      </c>
      <c r="N821" t="str">
        <f t="shared" si="37"/>
        <v>Librica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36"/>
        <v>47.55</v>
      </c>
      <c r="N825" t="str">
        <f t="shared" si="37"/>
        <v>Librica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IF(I835="Rob","Robusta", IF(I835="Exc","Excelsa",IF(I835="Lib","Librica",IF(I835="Ara","Arabica",""))))</f>
        <v>Robusta</v>
      </c>
      <c r="O835" t="str">
        <f t="shared" ref="O835:O898" si="41">IF(J835="M","Medium",IF(J835="L","Light", 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f>_xlfn.XLOOKUP(C839,customers!$A$1:$A$1001,customers!$C$1:$C$1001,0)</f>
        <v>0</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39"/>
        <v>100.39499999999998</v>
      </c>
      <c r="N839" t="str">
        <f t="shared" si="40"/>
        <v>Librica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39"/>
        <v>4.3650000000000002</v>
      </c>
      <c r="N843" t="str">
        <f t="shared" si="40"/>
        <v>Librica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f>_xlfn.XLOOKUP(C848,customers!$A$1:$A$1001,customers!$C$1:$C$1001,0)</f>
        <v>0</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f>_xlfn.XLOOKUP(C850,customers!$A$1:$A$1001,customers!$C$1:$C$1001,0)</f>
        <v>0</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39"/>
        <v>7.77</v>
      </c>
      <c r="N853" t="str">
        <f t="shared" si="40"/>
        <v>Librica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39"/>
        <v>119.13999999999999</v>
      </c>
      <c r="N854" t="str">
        <f t="shared" si="40"/>
        <v>Librica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39"/>
        <v>89.35499999999999</v>
      </c>
      <c r="N857" t="str">
        <f t="shared" si="40"/>
        <v>Librica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39"/>
        <v>8.73</v>
      </c>
      <c r="N858" t="str">
        <f t="shared" si="40"/>
        <v>Librica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39"/>
        <v>34.92</v>
      </c>
      <c r="N860" t="str">
        <f t="shared" si="40"/>
        <v>Librica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f>_xlfn.XLOOKUP(C862,customers!$A$1:$A$1001,customers!$C$1:$C$1001,0)</f>
        <v>0</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39"/>
        <v>77.699999999999989</v>
      </c>
      <c r="N863" t="str">
        <f t="shared" si="40"/>
        <v>Librica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39"/>
        <v>29.1</v>
      </c>
      <c r="N865" t="str">
        <f t="shared" si="40"/>
        <v>Librica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f>_xlfn.XLOOKUP(C871,customers!$A$1:$A$1001,customers!$C$1:$C$1001,0)</f>
        <v>0</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39"/>
        <v>43.650000000000006</v>
      </c>
      <c r="N877" t="str">
        <f t="shared" si="40"/>
        <v>Librica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39"/>
        <v>28.53</v>
      </c>
      <c r="N879" t="str">
        <f t="shared" si="40"/>
        <v>Librica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f>_xlfn.XLOOKUP(C880,customers!$A$1:$A$1001,customers!$C$1:$C$1001,0)</f>
        <v>0</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f>_xlfn.XLOOKUP(C881,customers!$A$1:$A$1001,customers!$C$1:$C$1001,0)</f>
        <v>0</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f>_xlfn.XLOOKUP(C883,customers!$A$1:$A$1001,customers!$C$1:$C$1001,0)</f>
        <v>0</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39"/>
        <v>17.46</v>
      </c>
      <c r="N888" t="str">
        <f t="shared" si="40"/>
        <v>Librica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39"/>
        <v>57.06</v>
      </c>
      <c r="N895" t="str">
        <f t="shared" si="40"/>
        <v>Librica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f>_xlfn.XLOOKUP(C896,customers!$A$1:$A$1001,customers!$C$1:$C$1001,0)</f>
        <v>0</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f>_xlfn.XLOOKUP(C897,customers!$A$1:$A$1001,customers!$C$1:$C$1001,0)</f>
        <v>0</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IF(I899="Rob","Robusta", IF(I899="Exc","Excelsa",IF(I899="Lib","Librica",IF(I899="Ara","Arabica",""))))</f>
        <v>Excelsa</v>
      </c>
      <c r="O899" t="str">
        <f t="shared" ref="O899:O962" si="44">IF(J899="M","Medium",IF(J899="L","Light", 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f>_xlfn.XLOOKUP(C900,customers!$A$1:$A$1001,customers!$C$1:$C$1001,0)</f>
        <v>0</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f>_xlfn.XLOOKUP(C901,customers!$A$1:$A$1001,customers!$C$1:$C$1001,0)</f>
        <v>0</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42"/>
        <v>72.75</v>
      </c>
      <c r="N901" t="str">
        <f t="shared" si="43"/>
        <v>Librica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f>_xlfn.XLOOKUP(C902,customers!$A$1:$A$1001,customers!$C$1:$C$1001,0)</f>
        <v>0</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42"/>
        <v>47.55</v>
      </c>
      <c r="N902" t="str">
        <f t="shared" si="43"/>
        <v>Librica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42"/>
        <v>17.46</v>
      </c>
      <c r="N905" t="str">
        <f t="shared" si="43"/>
        <v>Librica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f>_xlfn.XLOOKUP(C907,customers!$A$1:$A$1001,customers!$C$1:$C$1001,0)</f>
        <v>0</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42"/>
        <v>38.849999999999994</v>
      </c>
      <c r="N909" t="str">
        <f t="shared" si="43"/>
        <v>Librica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f>_xlfn.XLOOKUP(C911,customers!$A$1:$A$1001,customers!$C$1:$C$1001,0)</f>
        <v>0</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f>_xlfn.XLOOKUP(C914,customers!$A$1:$A$1001,customers!$C$1:$C$1001,0)</f>
        <v>0</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f>_xlfn.XLOOKUP(C918,customers!$A$1:$A$1001,customers!$C$1:$C$1001,0)</f>
        <v>0</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42"/>
        <v>7.77</v>
      </c>
      <c r="N923" t="str">
        <f t="shared" si="43"/>
        <v>Librica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f>_xlfn.XLOOKUP(C924,customers!$A$1:$A$1001,customers!$C$1:$C$1001,0)</f>
        <v>0</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f>_xlfn.XLOOKUP(C927,customers!$A$1:$A$1001,customers!$C$1:$C$1001,0)</f>
        <v>0</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f>_xlfn.XLOOKUP(C933,customers!$A$1:$A$1001,customers!$C$1:$C$1001,0)</f>
        <v>0</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f>_xlfn.XLOOKUP(C935,customers!$A$1:$A$1001,customers!$C$1:$C$1001,0)</f>
        <v>0</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42"/>
        <v>23.31</v>
      </c>
      <c r="N938" t="str">
        <f t="shared" si="43"/>
        <v>Librica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42"/>
        <v>28.53</v>
      </c>
      <c r="N941" t="str">
        <f t="shared" si="43"/>
        <v>Librica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f>_xlfn.XLOOKUP(C947,customers!$A$1:$A$1001,customers!$C$1:$C$1001,0)</f>
        <v>0</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42"/>
        <v>119.13999999999999</v>
      </c>
      <c r="N947" t="str">
        <f t="shared" si="43"/>
        <v>Librica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f>_xlfn.XLOOKUP(C948,customers!$A$1:$A$1001,customers!$C$1:$C$1001,0)</f>
        <v>0</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42"/>
        <v>23.31</v>
      </c>
      <c r="N948" t="str">
        <f t="shared" si="43"/>
        <v>Librica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f>_xlfn.XLOOKUP(C952,customers!$A$1:$A$1001,customers!$C$1:$C$1001,0)</f>
        <v>0</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f>_xlfn.XLOOKUP(C955,customers!$A$1:$A$1001,customers!$C$1:$C$1001,0)</f>
        <v>0</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f>_xlfn.XLOOKUP(C956,customers!$A$1:$A$1001,customers!$C$1:$C$1001,0)</f>
        <v>0</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f>_xlfn.XLOOKUP(C957,customers!$A$1:$A$1001,customers!$C$1:$C$1001,0)</f>
        <v>0</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f>_xlfn.XLOOKUP(C958,customers!$A$1:$A$1001,customers!$C$1:$C$1001,0)</f>
        <v>0</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f>_xlfn.XLOOKUP(C959,customers!$A$1:$A$1001,customers!$C$1:$C$1001,0)</f>
        <v>0</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f>_xlfn.XLOOKUP(C960,customers!$A$1:$A$1001,customers!$C$1:$C$1001,0)</f>
        <v>0</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42"/>
        <v>23.774999999999999</v>
      </c>
      <c r="N961" t="str">
        <f t="shared" si="43"/>
        <v>Librica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si="42"/>
        <v>79.25</v>
      </c>
      <c r="N962" t="str">
        <f t="shared" si="43"/>
        <v>Librica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f>_xlfn.XLOOKUP(C963,customers!$A$1:$A$1001,customers!$C$1:$C$1001,0)</f>
        <v>0</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IF(I963="Rob","Robusta", IF(I963="Exc","Excelsa",IF(I963="Lib","Librica",IF(I963="Ara","Arabica",""))))</f>
        <v>Arabica</v>
      </c>
      <c r="O963" t="str">
        <f t="shared" ref="O963:O1001" si="47">IF(J963="M","Medium",IF(J963="L","Light", 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45"/>
        <v>12.95</v>
      </c>
      <c r="N971" t="str">
        <f t="shared" si="46"/>
        <v>Librica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f>_xlfn.XLOOKUP(C972,customers!$A$1:$A$1001,customers!$C$1:$C$1001,0)</f>
        <v>0</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f>_xlfn.XLOOKUP(C974,customers!$A$1:$A$1001,customers!$C$1:$C$1001,0)</f>
        <v>0</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45"/>
        <v>87.300000000000011</v>
      </c>
      <c r="N975" t="str">
        <f t="shared" si="46"/>
        <v>Librica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f>_xlfn.XLOOKUP(C981,customers!$A$1:$A$1001,customers!$C$1:$C$1001,0)</f>
        <v>0</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f>_xlfn.XLOOKUP(C982,customers!$A$1:$A$1001,customers!$C$1:$C$1001,0)</f>
        <v>0</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45"/>
        <v>33.464999999999996</v>
      </c>
      <c r="N988" t="str">
        <f t="shared" si="46"/>
        <v>Librica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f>_xlfn.XLOOKUP(C990,customers!$A$1:$A$1001,customers!$C$1:$C$1001,0)</f>
        <v>0</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f>_xlfn.XLOOKUP(C991,customers!$A$1:$A$1001,customers!$C$1:$C$1001,0)</f>
        <v>0</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f>_xlfn.XLOOKUP(C992,customers!$A$1:$A$1001,customers!$C$1:$C$1001,0)</f>
        <v>0</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f>_xlfn.XLOOKUP(C993,customers!$A$1:$A$1001,customers!$C$1:$C$1001,0)</f>
        <v>0</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45"/>
        <v>15.54</v>
      </c>
      <c r="N993" t="str">
        <f t="shared" si="46"/>
        <v>Librica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f>_xlfn.XLOOKUP(C994,customers!$A$1:$A$1001,customers!$C$1:$C$1001,0)</f>
        <v>0</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45"/>
        <v>109.36499999999999</v>
      </c>
      <c r="N994" t="str">
        <f t="shared" si="46"/>
        <v>Librica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f>_xlfn.XLOOKUP(C995,customers!$A$1:$A$1001,customers!$C$1:$C$1001,0)</f>
        <v>0</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f>_xlfn.XLOOKUP(C996,customers!$A$1:$A$1001,customers!$C$1:$C$1001,0)</f>
        <v>0</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f>_xlfn.XLOOKUP(C998,customers!$A$1:$A$1001,customers!$C$1:$C$1001,0)</f>
        <v>0</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f>_xlfn.XLOOKUP(C999,customers!$A$1:$A$1001,customers!$C$1:$C$1001,0)</f>
        <v>0</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f>_xlfn.XLOOKUP(C1001,customers!$A$1:$A$1001,customers!$C$1:$C$1001,0)</f>
        <v>0</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I7" sqref="I7"/>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0.6640625" customWidth="1"/>
    <col min="9" max="9" width="13.33203125" customWidth="1"/>
    <col min="10" max="10" width="10.44140625"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L14" sqref="L14"/>
    </sheetView>
  </sheetViews>
  <sheetFormatPr defaultRowHeight="14.4" x14ac:dyDescent="0.3"/>
  <cols>
    <col min="1" max="1" width="11.77734375" customWidth="1"/>
    <col min="2" max="2" width="13" customWidth="1"/>
    <col min="3" max="3" width="12.109375" customWidth="1"/>
    <col min="4" max="4" width="6.109375" customWidth="1"/>
    <col min="5" max="5" width="11" customWidth="1"/>
    <col min="6" max="6" width="14.6640625"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Vanshita Tomar</cp:lastModifiedBy>
  <cp:revision/>
  <dcterms:created xsi:type="dcterms:W3CDTF">2022-11-26T09:51:45Z</dcterms:created>
  <dcterms:modified xsi:type="dcterms:W3CDTF">2025-12-19T09:02:21Z</dcterms:modified>
  <cp:category/>
  <cp:contentStatus/>
</cp:coreProperties>
</file>